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aibhavi\OneDrive\Documents\Data Anayst Projects\"/>
    </mc:Choice>
  </mc:AlternateContent>
  <xr:revisionPtr revIDLastSave="0" documentId="13_ncr:1_{1164C1CE-2D18-46A4-A10D-3BD56607088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icket Data" sheetId="4" r:id="rId1"/>
    <sheet name="Pivot Analysis" sheetId="5" r:id="rId2"/>
    <sheet name="Dashboard" sheetId="2" r:id="rId3"/>
  </sheets>
  <calcPr calcId="191029"/>
  <pivotCaches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4" i="2"/>
  <c r="B12" i="2"/>
  <c r="B11" i="2"/>
  <c r="B10" i="2"/>
  <c r="B9" i="2"/>
  <c r="B3" i="2"/>
  <c r="B8" i="2"/>
  <c r="B6" i="2"/>
  <c r="B5" i="2"/>
  <c r="B2" i="2"/>
</calcChain>
</file>

<file path=xl/sharedStrings.xml><?xml version="1.0" encoding="utf-8"?>
<sst xmlns="http://schemas.openxmlformats.org/spreadsheetml/2006/main" count="414" uniqueCount="111">
  <si>
    <t>TicketID</t>
  </si>
  <si>
    <t>OpenedDate</t>
  </si>
  <si>
    <t>Category</t>
  </si>
  <si>
    <t>Priority</t>
  </si>
  <si>
    <t>Channel</t>
  </si>
  <si>
    <t>Agent</t>
  </si>
  <si>
    <t>Status</t>
  </si>
  <si>
    <t>FirstResponse_Min</t>
  </si>
  <si>
    <t>Resolution_Hours</t>
  </si>
  <si>
    <t>CSAT</t>
  </si>
  <si>
    <t>TKT0001</t>
  </si>
  <si>
    <t>Account</t>
  </si>
  <si>
    <t>Low</t>
  </si>
  <si>
    <t>Chat</t>
  </si>
  <si>
    <t>Kabir</t>
  </si>
  <si>
    <t>Resolved</t>
  </si>
  <si>
    <t>TKT0002</t>
  </si>
  <si>
    <t>Delivery</t>
  </si>
  <si>
    <t>Email</t>
  </si>
  <si>
    <t>Meera</t>
  </si>
  <si>
    <t>TKT0003</t>
  </si>
  <si>
    <t>Refund</t>
  </si>
  <si>
    <t>Critical</t>
  </si>
  <si>
    <t>Vikram</t>
  </si>
  <si>
    <t>Pending</t>
  </si>
  <si>
    <t>TKT0004</t>
  </si>
  <si>
    <t>Technical</t>
  </si>
  <si>
    <t>Medium</t>
  </si>
  <si>
    <t>Isha</t>
  </si>
  <si>
    <t>TKT0005</t>
  </si>
  <si>
    <t>High</t>
  </si>
  <si>
    <t>TKT0006</t>
  </si>
  <si>
    <t>Ananya</t>
  </si>
  <si>
    <t>Escalated</t>
  </si>
  <si>
    <t>TKT0007</t>
  </si>
  <si>
    <t>Payment</t>
  </si>
  <si>
    <t>Phone</t>
  </si>
  <si>
    <t>TKT0008</t>
  </si>
  <si>
    <t>TKT0009</t>
  </si>
  <si>
    <t>TKT0010</t>
  </si>
  <si>
    <t>TKT0011</t>
  </si>
  <si>
    <t>TKT0012</t>
  </si>
  <si>
    <t>Neha</t>
  </si>
  <si>
    <t>TKT0013</t>
  </si>
  <si>
    <t>Rohan</t>
  </si>
  <si>
    <t>TKT0014</t>
  </si>
  <si>
    <t>Closed</t>
  </si>
  <si>
    <t>TKT0015</t>
  </si>
  <si>
    <t>TKT0016</t>
  </si>
  <si>
    <t>TKT0017</t>
  </si>
  <si>
    <t>TKT0018</t>
  </si>
  <si>
    <t>TKT0019</t>
  </si>
  <si>
    <t>TKT0020</t>
  </si>
  <si>
    <t>TKT0021</t>
  </si>
  <si>
    <t>TKT0022</t>
  </si>
  <si>
    <t>TKT0023</t>
  </si>
  <si>
    <t>TKT0024</t>
  </si>
  <si>
    <t>TKT0025</t>
  </si>
  <si>
    <t>TKT0026</t>
  </si>
  <si>
    <t>TKT0027</t>
  </si>
  <si>
    <t>TKT0028</t>
  </si>
  <si>
    <t>TKT0029</t>
  </si>
  <si>
    <t>TKT0030</t>
  </si>
  <si>
    <t>TKT0031</t>
  </si>
  <si>
    <t>TKT0032</t>
  </si>
  <si>
    <t>Aarav</t>
  </si>
  <si>
    <t>TKT0033</t>
  </si>
  <si>
    <t>TKT0034</t>
  </si>
  <si>
    <t>TKT0035</t>
  </si>
  <si>
    <t>TKT0036</t>
  </si>
  <si>
    <t>TKT0037</t>
  </si>
  <si>
    <t>TKT0038</t>
  </si>
  <si>
    <t>TKT0039</t>
  </si>
  <si>
    <t>TKT0040</t>
  </si>
  <si>
    <t>TKT0041</t>
  </si>
  <si>
    <t>TKT0042</t>
  </si>
  <si>
    <t>TKT0043</t>
  </si>
  <si>
    <t>TKT0044</t>
  </si>
  <si>
    <t>TKT0045</t>
  </si>
  <si>
    <t>TKT0046</t>
  </si>
  <si>
    <t>TKT0047</t>
  </si>
  <si>
    <t>TKT0048</t>
  </si>
  <si>
    <t>TKT0049</t>
  </si>
  <si>
    <t>TKT0050</t>
  </si>
  <si>
    <t>TKT0051</t>
  </si>
  <si>
    <t>TKT0052</t>
  </si>
  <si>
    <t>TKT0053</t>
  </si>
  <si>
    <t>TKT0054</t>
  </si>
  <si>
    <t>TKT0055</t>
  </si>
  <si>
    <t>TKT0056</t>
  </si>
  <si>
    <t>TKT0057</t>
  </si>
  <si>
    <t>TKT0058</t>
  </si>
  <si>
    <t>TKT0059</t>
  </si>
  <si>
    <t>TKT0060</t>
  </si>
  <si>
    <t>Total Tickets</t>
  </si>
  <si>
    <t>Resolved Tickets</t>
  </si>
  <si>
    <t>Average Response Time</t>
  </si>
  <si>
    <t>Average Resolution Time</t>
  </si>
  <si>
    <t>Grand Total</t>
  </si>
  <si>
    <t>Count of TicketID</t>
  </si>
  <si>
    <t xml:space="preserve">Priority </t>
  </si>
  <si>
    <t>Channels</t>
  </si>
  <si>
    <t>Agents</t>
  </si>
  <si>
    <t>High Priority Tickets</t>
  </si>
  <si>
    <t>Critical Priority Tickets</t>
  </si>
  <si>
    <t>High/Critical Resolved Tickets</t>
  </si>
  <si>
    <t>Avg Response Time - High Priority</t>
  </si>
  <si>
    <t>Avg Resolution Time - Critical</t>
  </si>
  <si>
    <t>Average CSAT</t>
  </si>
  <si>
    <t>CUSTOMER SUPPORT TICKET ANALYSIS</t>
  </si>
  <si>
    <t xml:space="preserve"> RESOLUTION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</si>
</sst>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0.00\ &quot;min&quot;"/>
    <numFmt numFmtId="166" formatCode="0.00\ &quot;hrs&quot;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3">
    <xf numFmtId="0" fontId="0" fillId="0" borderId="0"/>
    <xf numFmtId="0" fontId="3" fillId="5" borderId="0" applyNumberFormat="0" applyBorder="0" applyAlignment="0" applyProtection="0"/>
    <xf numFmtId="0" fontId="4" fillId="6" borderId="0" applyNumberFormat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3" borderId="2" xfId="0" applyFill="1" applyBorder="1"/>
    <xf numFmtId="0" fontId="0" fillId="4" borderId="2" xfId="0" applyFill="1" applyBorder="1"/>
    <xf numFmtId="0" fontId="0" fillId="3" borderId="3" xfId="0" applyFill="1" applyBorder="1"/>
    <xf numFmtId="0" fontId="0" fillId="4" borderId="3" xfId="0" applyFill="1" applyBorder="1"/>
    <xf numFmtId="164" fontId="0" fillId="3" borderId="2" xfId="0" applyNumberFormat="1" applyFill="1" applyBorder="1"/>
    <xf numFmtId="164" fontId="0" fillId="4" borderId="2" xfId="0" applyNumberFormat="1" applyFill="1" applyBorder="1"/>
    <xf numFmtId="0" fontId="1" fillId="2" borderId="4" xfId="0" applyFont="1" applyFill="1" applyBorder="1" applyAlignment="1">
      <alignment horizontal="center" vertical="top"/>
    </xf>
    <xf numFmtId="0" fontId="0" fillId="4" borderId="5" xfId="0" applyFill="1" applyBorder="1"/>
    <xf numFmtId="164" fontId="0" fillId="4" borderId="6" xfId="0" applyNumberFormat="1" applyFill="1" applyBorder="1"/>
    <xf numFmtId="0" fontId="0" fillId="4" borderId="6" xfId="0" applyFill="1" applyBorder="1"/>
    <xf numFmtId="2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4" borderId="7" xfId="0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3" fillId="5" borderId="1" xfId="1" applyNumberFormat="1" applyBorder="1" applyAlignment="1">
      <alignment horizontal="center"/>
    </xf>
    <xf numFmtId="0" fontId="3" fillId="5" borderId="1" xfId="1" applyBorder="1" applyAlignment="1">
      <alignment horizontal="center"/>
    </xf>
    <xf numFmtId="165" fontId="3" fillId="5" borderId="1" xfId="1" applyNumberFormat="1" applyBorder="1" applyAlignment="1">
      <alignment horizontal="center"/>
    </xf>
    <xf numFmtId="166" fontId="3" fillId="5" borderId="1" xfId="1" applyNumberFormat="1" applyBorder="1" applyAlignment="1">
      <alignment horizontal="center"/>
    </xf>
    <xf numFmtId="10" fontId="3" fillId="5" borderId="1" xfId="1" applyNumberFormat="1" applyBorder="1" applyAlignment="1">
      <alignment horizontal="center"/>
    </xf>
    <xf numFmtId="2" fontId="4" fillId="6" borderId="1" xfId="2" applyNumberFormat="1" applyBorder="1" applyAlignment="1">
      <alignment horizontal="center"/>
    </xf>
    <xf numFmtId="0" fontId="4" fillId="6" borderId="1" xfId="2" applyBorder="1" applyAlignment="1">
      <alignment horizontal="center"/>
    </xf>
    <xf numFmtId="165" fontId="4" fillId="6" borderId="1" xfId="2" applyNumberFormat="1" applyBorder="1" applyAlignment="1">
      <alignment horizontal="center"/>
    </xf>
    <xf numFmtId="166" fontId="4" fillId="6" borderId="1" xfId="2" applyNumberFormat="1" applyBorder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d\-mm\-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top style="thin">
          <color auto="1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[Excel_Customer_Support_Analysis_Project.xlsx]Pivot 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rgbClr val="002060"/>
                </a:solidFill>
              </a:rPr>
              <a:t>Tickets by Category</a:t>
            </a:r>
            <a:endParaRPr lang="en-US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Analysis'!$A$4:$A$9</c:f>
              <c:strCache>
                <c:ptCount val="5"/>
                <c:pt idx="0">
                  <c:v>Account</c:v>
                </c:pt>
                <c:pt idx="1">
                  <c:v>Delivery</c:v>
                </c:pt>
                <c:pt idx="2">
                  <c:v>Payment</c:v>
                </c:pt>
                <c:pt idx="3">
                  <c:v>Refund</c:v>
                </c:pt>
                <c:pt idx="4">
                  <c:v>Technical</c:v>
                </c:pt>
              </c:strCache>
            </c:strRef>
          </c:cat>
          <c:val>
            <c:numRef>
              <c:f>'Pivot Analysis'!$B$4:$B$9</c:f>
              <c:numCache>
                <c:formatCode>General</c:formatCode>
                <c:ptCount val="5"/>
                <c:pt idx="0">
                  <c:v>8</c:v>
                </c:pt>
                <c:pt idx="1">
                  <c:v>15</c:v>
                </c:pt>
                <c:pt idx="2">
                  <c:v>10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D-498D-A2DF-E8A2BC810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5397519"/>
        <c:axId val="1318373455"/>
      </c:barChart>
      <c:catAx>
        <c:axId val="132539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373455"/>
        <c:crosses val="autoZero"/>
        <c:auto val="1"/>
        <c:lblAlgn val="ctr"/>
        <c:lblOffset val="100"/>
        <c:noMultiLvlLbl val="0"/>
      </c:catAx>
      <c:valAx>
        <c:axId val="131837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39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[Excel_Customer_Support_Analysis_Project.xlsx]Pivot 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Tickets by Priority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Analysis'!$D$4:$D$8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'Pivot Analysis'!$E$4:$E$8</c:f>
              <c:numCache>
                <c:formatCode>General</c:formatCode>
                <c:ptCount val="4"/>
                <c:pt idx="0">
                  <c:v>16</c:v>
                </c:pt>
                <c:pt idx="1">
                  <c:v>17</c:v>
                </c:pt>
                <c:pt idx="2">
                  <c:v>15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2-4543-BA60-6EE3C905D7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9559551"/>
        <c:axId val="1318384015"/>
      </c:barChart>
      <c:catAx>
        <c:axId val="126955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384015"/>
        <c:crosses val="autoZero"/>
        <c:auto val="1"/>
        <c:lblAlgn val="ctr"/>
        <c:lblOffset val="100"/>
        <c:noMultiLvlLbl val="0"/>
      </c:catAx>
      <c:valAx>
        <c:axId val="131838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55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[Excel_Customer_Support_Analysis_Project.xlsx]Pivot 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Tickets by Channel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Analysis'!$H$3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43-41D8-8A9A-5E070CFD66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43-41D8-8A9A-5E070CFD66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43-41D8-8A9A-5E070CFD6676}"/>
              </c:ext>
            </c:extLst>
          </c:dPt>
          <c:cat>
            <c:strRef>
              <c:f>'Pivot Analysis'!$G$4:$G$7</c:f>
              <c:strCache>
                <c:ptCount val="3"/>
                <c:pt idx="0">
                  <c:v>Chat</c:v>
                </c:pt>
                <c:pt idx="1">
                  <c:v>Email</c:v>
                </c:pt>
                <c:pt idx="2">
                  <c:v>Phone</c:v>
                </c:pt>
              </c:strCache>
            </c:strRef>
          </c:cat>
          <c:val>
            <c:numRef>
              <c:f>'Pivot Analysis'!$H$4:$H$7</c:f>
              <c:numCache>
                <c:formatCode>General</c:formatCode>
                <c:ptCount val="3"/>
                <c:pt idx="0">
                  <c:v>18</c:v>
                </c:pt>
                <c:pt idx="1">
                  <c:v>26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43-41D8-8A9A-5E070CFD6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[Excel_Customer_Support_Analysis_Project.xlsx]Pivot 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Tickets by Agent</a:t>
            </a:r>
            <a:endParaRPr lang="en-IN"/>
          </a:p>
        </c:rich>
      </c:tx>
      <c:layout>
        <c:manualLayout>
          <c:xMode val="edge"/>
          <c:yMode val="edge"/>
          <c:x val="0.38773600174978123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Analysis'!$J$4:$J$12</c:f>
              <c:strCache>
                <c:ptCount val="8"/>
                <c:pt idx="0">
                  <c:v>Aarav</c:v>
                </c:pt>
                <c:pt idx="1">
                  <c:v>Ananya</c:v>
                </c:pt>
                <c:pt idx="2">
                  <c:v>Isha</c:v>
                </c:pt>
                <c:pt idx="3">
                  <c:v>Kabir</c:v>
                </c:pt>
                <c:pt idx="4">
                  <c:v>Meera</c:v>
                </c:pt>
                <c:pt idx="5">
                  <c:v>Neha</c:v>
                </c:pt>
                <c:pt idx="6">
                  <c:v>Rohan</c:v>
                </c:pt>
                <c:pt idx="7">
                  <c:v>Vikram</c:v>
                </c:pt>
              </c:strCache>
            </c:strRef>
          </c:cat>
          <c:val>
            <c:numRef>
              <c:f>'Pivot Analysis'!$K$4:$K$12</c:f>
              <c:numCache>
                <c:formatCode>General</c:formatCode>
                <c:ptCount val="8"/>
                <c:pt idx="0">
                  <c:v>7</c:v>
                </c:pt>
                <c:pt idx="1">
                  <c:v>13</c:v>
                </c:pt>
                <c:pt idx="2">
                  <c:v>3</c:v>
                </c:pt>
                <c:pt idx="3">
                  <c:v>6</c:v>
                </c:pt>
                <c:pt idx="4">
                  <c:v>10</c:v>
                </c:pt>
                <c:pt idx="5">
                  <c:v>9</c:v>
                </c:pt>
                <c:pt idx="6">
                  <c:v>3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5-40F0-9073-1F89217A1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4549023"/>
        <c:axId val="1318365775"/>
      </c:barChart>
      <c:catAx>
        <c:axId val="1274549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365775"/>
        <c:crosses val="autoZero"/>
        <c:auto val="1"/>
        <c:lblAlgn val="ctr"/>
        <c:lblOffset val="100"/>
        <c:noMultiLvlLbl val="0"/>
      </c:catAx>
      <c:valAx>
        <c:axId val="1318365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54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4</xdr:col>
      <xdr:colOff>7620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F363E8-7DA1-4424-B72B-E7872DB837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7620</xdr:colOff>
      <xdr:row>14</xdr:row>
      <xdr:rowOff>0</xdr:rowOff>
    </xdr:from>
    <xdr:to>
      <xdr:col>12</xdr:col>
      <xdr:colOff>0</xdr:colOff>
      <xdr:row>27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EABB9E-DCAF-41FB-B6AB-8E058F3A07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15240</xdr:rowOff>
    </xdr:from>
    <xdr:to>
      <xdr:col>4</xdr:col>
      <xdr:colOff>0</xdr:colOff>
      <xdr:row>43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A7BFA5C-A5D1-4465-AEE2-0742027E4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29</xdr:row>
      <xdr:rowOff>22860</xdr:rowOff>
    </xdr:from>
    <xdr:to>
      <xdr:col>12</xdr:col>
      <xdr:colOff>0</xdr:colOff>
      <xdr:row>44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55FC39-DF71-4195-97C8-771447810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bhavi" refreshedDate="46298.483586342591" createdVersion="8" refreshedVersion="8" minRefreshableVersion="3" recordCount="60" xr:uid="{68DAED6A-2A5D-4C99-B202-267492F2E493}">
  <cacheSource type="worksheet">
    <worksheetSource name="Tickets"/>
  </cacheSource>
  <cacheFields count="10">
    <cacheField name="TicketID" numFmtId="0">
      <sharedItems count="60">
        <s v="TKT0001"/>
        <s v="TKT0002"/>
        <s v="TKT0003"/>
        <s v="TKT0004"/>
        <s v="TKT0005"/>
        <s v="TKT0006"/>
        <s v="TKT0007"/>
        <s v="TKT0008"/>
        <s v="TKT0009"/>
        <s v="TKT0010"/>
        <s v="TKT0011"/>
        <s v="TKT0012"/>
        <s v="TKT0013"/>
        <s v="TKT0014"/>
        <s v="TKT0015"/>
        <s v="TKT0016"/>
        <s v="TKT0017"/>
        <s v="TKT0018"/>
        <s v="TKT0019"/>
        <s v="TKT0020"/>
        <s v="TKT0021"/>
        <s v="TKT0022"/>
        <s v="TKT0023"/>
        <s v="TKT0024"/>
        <s v="TKT0025"/>
        <s v="TKT0026"/>
        <s v="TKT0027"/>
        <s v="TKT0028"/>
        <s v="TKT0029"/>
        <s v="TKT0030"/>
        <s v="TKT0031"/>
        <s v="TKT0032"/>
        <s v="TKT0033"/>
        <s v="TKT0034"/>
        <s v="TKT0035"/>
        <s v="TKT0036"/>
        <s v="TKT0037"/>
        <s v="TKT0038"/>
        <s v="TKT0039"/>
        <s v="TKT0040"/>
        <s v="TKT0041"/>
        <s v="TKT0042"/>
        <s v="TKT0043"/>
        <s v="TKT0044"/>
        <s v="TKT0045"/>
        <s v="TKT0046"/>
        <s v="TKT0047"/>
        <s v="TKT0048"/>
        <s v="TKT0049"/>
        <s v="TKT0050"/>
        <s v="TKT0051"/>
        <s v="TKT0052"/>
        <s v="TKT0053"/>
        <s v="TKT0054"/>
        <s v="TKT0055"/>
        <s v="TKT0056"/>
        <s v="TKT0057"/>
        <s v="TKT0058"/>
        <s v="TKT0059"/>
        <s v="TKT0060"/>
      </sharedItems>
    </cacheField>
    <cacheField name="OpenedDate" numFmtId="164">
      <sharedItems containsSemiMixedTypes="0" containsNonDate="0" containsDate="1" containsString="0" minDate="2026-08-01T00:00:00" maxDate="2026-09-01T00:00:00"/>
    </cacheField>
    <cacheField name="Category" numFmtId="0">
      <sharedItems count="5">
        <s v="Account"/>
        <s v="Delivery"/>
        <s v="Refund"/>
        <s v="Technical"/>
        <s v="Payment"/>
      </sharedItems>
    </cacheField>
    <cacheField name="Priority" numFmtId="0">
      <sharedItems count="4">
        <s v="Low"/>
        <s v="Critical"/>
        <s v="Medium"/>
        <s v="High"/>
      </sharedItems>
    </cacheField>
    <cacheField name="Channel" numFmtId="0">
      <sharedItems count="3">
        <s v="Chat"/>
        <s v="Email"/>
        <s v="Phone"/>
      </sharedItems>
    </cacheField>
    <cacheField name="Agent" numFmtId="0">
      <sharedItems count="8">
        <s v="Kabir"/>
        <s v="Meera"/>
        <s v="Vikram"/>
        <s v="Isha"/>
        <s v="Ananya"/>
        <s v="Neha"/>
        <s v="Rohan"/>
        <s v="Aarav"/>
      </sharedItems>
    </cacheField>
    <cacheField name="Status" numFmtId="0">
      <sharedItems/>
    </cacheField>
    <cacheField name="FirstResponse_Min" numFmtId="0">
      <sharedItems containsSemiMixedTypes="0" containsString="0" containsNumber="1" containsInteger="1" minValue="5" maxValue="177"/>
    </cacheField>
    <cacheField name="Resolution_Hours" numFmtId="0">
      <sharedItems containsSemiMixedTypes="0" containsString="0" containsNumber="1" containsInteger="1" minValue="4" maxValue="70"/>
    </cacheField>
    <cacheField name="CSAT" numFmtId="0">
      <sharedItems containsSemiMixedTypes="0" containsString="0" containsNumber="1" containsInteger="1" minValue="2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d v="2026-08-21T00:00:00"/>
    <x v="0"/>
    <x v="0"/>
    <x v="0"/>
    <x v="0"/>
    <s v="Resolved"/>
    <n v="40"/>
    <n v="14"/>
    <n v="3"/>
  </r>
  <r>
    <x v="1"/>
    <d v="2026-08-19T00:00:00"/>
    <x v="1"/>
    <x v="0"/>
    <x v="1"/>
    <x v="1"/>
    <s v="Resolved"/>
    <n v="134"/>
    <n v="4"/>
    <n v="4"/>
  </r>
  <r>
    <x v="2"/>
    <d v="2026-08-23T00:00:00"/>
    <x v="2"/>
    <x v="1"/>
    <x v="1"/>
    <x v="2"/>
    <s v="Pending"/>
    <n v="6"/>
    <n v="21"/>
    <n v="5"/>
  </r>
  <r>
    <x v="3"/>
    <d v="2026-08-11T00:00:00"/>
    <x v="3"/>
    <x v="2"/>
    <x v="1"/>
    <x v="3"/>
    <s v="Resolved"/>
    <n v="102"/>
    <n v="13"/>
    <n v="4"/>
  </r>
  <r>
    <x v="4"/>
    <d v="2026-08-28T00:00:00"/>
    <x v="3"/>
    <x v="3"/>
    <x v="1"/>
    <x v="2"/>
    <s v="Pending"/>
    <n v="101"/>
    <n v="11"/>
    <n v="4"/>
  </r>
  <r>
    <x v="5"/>
    <d v="2026-08-27T00:00:00"/>
    <x v="2"/>
    <x v="3"/>
    <x v="0"/>
    <x v="4"/>
    <s v="Escalated"/>
    <n v="16"/>
    <n v="30"/>
    <n v="4"/>
  </r>
  <r>
    <x v="6"/>
    <d v="2026-08-03T00:00:00"/>
    <x v="4"/>
    <x v="0"/>
    <x v="2"/>
    <x v="0"/>
    <s v="Pending"/>
    <n v="98"/>
    <n v="21"/>
    <n v="4"/>
  </r>
  <r>
    <x v="7"/>
    <d v="2026-08-12T00:00:00"/>
    <x v="4"/>
    <x v="3"/>
    <x v="0"/>
    <x v="1"/>
    <s v="Pending"/>
    <n v="48"/>
    <n v="69"/>
    <n v="4"/>
  </r>
  <r>
    <x v="8"/>
    <d v="2026-08-06T00:00:00"/>
    <x v="1"/>
    <x v="1"/>
    <x v="2"/>
    <x v="4"/>
    <s v="Escalated"/>
    <n v="19"/>
    <n v="30"/>
    <n v="2"/>
  </r>
  <r>
    <x v="9"/>
    <d v="2026-08-26T00:00:00"/>
    <x v="3"/>
    <x v="1"/>
    <x v="2"/>
    <x v="1"/>
    <s v="Resolved"/>
    <n v="150"/>
    <n v="41"/>
    <n v="4"/>
  </r>
  <r>
    <x v="10"/>
    <d v="2026-08-21T00:00:00"/>
    <x v="1"/>
    <x v="1"/>
    <x v="0"/>
    <x v="2"/>
    <s v="Resolved"/>
    <n v="40"/>
    <n v="32"/>
    <n v="4"/>
  </r>
  <r>
    <x v="11"/>
    <d v="2026-08-24T00:00:00"/>
    <x v="2"/>
    <x v="1"/>
    <x v="0"/>
    <x v="5"/>
    <s v="Resolved"/>
    <n v="40"/>
    <n v="66"/>
    <n v="5"/>
  </r>
  <r>
    <x v="12"/>
    <d v="2026-08-03T00:00:00"/>
    <x v="0"/>
    <x v="0"/>
    <x v="1"/>
    <x v="6"/>
    <s v="Escalated"/>
    <n v="113"/>
    <n v="9"/>
    <n v="5"/>
  </r>
  <r>
    <x v="13"/>
    <d v="2026-08-13T00:00:00"/>
    <x v="2"/>
    <x v="1"/>
    <x v="0"/>
    <x v="0"/>
    <s v="Closed"/>
    <n v="7"/>
    <n v="15"/>
    <n v="4"/>
  </r>
  <r>
    <x v="14"/>
    <d v="2026-08-25T00:00:00"/>
    <x v="3"/>
    <x v="0"/>
    <x v="2"/>
    <x v="5"/>
    <s v="Resolved"/>
    <n v="5"/>
    <n v="34"/>
    <n v="3"/>
  </r>
  <r>
    <x v="15"/>
    <d v="2026-08-17T00:00:00"/>
    <x v="0"/>
    <x v="3"/>
    <x v="0"/>
    <x v="4"/>
    <s v="Resolved"/>
    <n v="46"/>
    <n v="70"/>
    <n v="2"/>
  </r>
  <r>
    <x v="16"/>
    <d v="2026-08-20T00:00:00"/>
    <x v="3"/>
    <x v="1"/>
    <x v="1"/>
    <x v="1"/>
    <s v="Closed"/>
    <n v="83"/>
    <n v="31"/>
    <n v="2"/>
  </r>
  <r>
    <x v="17"/>
    <d v="2026-08-08T00:00:00"/>
    <x v="2"/>
    <x v="0"/>
    <x v="1"/>
    <x v="2"/>
    <s v="Closed"/>
    <n v="141"/>
    <n v="17"/>
    <n v="3"/>
  </r>
  <r>
    <x v="18"/>
    <d v="2026-08-22T00:00:00"/>
    <x v="1"/>
    <x v="2"/>
    <x v="2"/>
    <x v="5"/>
    <s v="Closed"/>
    <n v="143"/>
    <n v="26"/>
    <n v="4"/>
  </r>
  <r>
    <x v="19"/>
    <d v="2026-08-13T00:00:00"/>
    <x v="3"/>
    <x v="1"/>
    <x v="0"/>
    <x v="2"/>
    <s v="Resolved"/>
    <n v="62"/>
    <n v="9"/>
    <n v="4"/>
  </r>
  <r>
    <x v="20"/>
    <d v="2026-08-01T00:00:00"/>
    <x v="2"/>
    <x v="2"/>
    <x v="0"/>
    <x v="4"/>
    <s v="Resolved"/>
    <n v="166"/>
    <n v="8"/>
    <n v="4"/>
  </r>
  <r>
    <x v="21"/>
    <d v="2026-08-03T00:00:00"/>
    <x v="0"/>
    <x v="3"/>
    <x v="1"/>
    <x v="4"/>
    <s v="Resolved"/>
    <n v="129"/>
    <n v="28"/>
    <n v="3"/>
  </r>
  <r>
    <x v="22"/>
    <d v="2026-08-24T00:00:00"/>
    <x v="2"/>
    <x v="1"/>
    <x v="1"/>
    <x v="2"/>
    <s v="Closed"/>
    <n v="53"/>
    <n v="13"/>
    <n v="3"/>
  </r>
  <r>
    <x v="23"/>
    <d v="2026-08-22T00:00:00"/>
    <x v="1"/>
    <x v="3"/>
    <x v="2"/>
    <x v="5"/>
    <s v="Pending"/>
    <n v="18"/>
    <n v="13"/>
    <n v="2"/>
  </r>
  <r>
    <x v="24"/>
    <d v="2026-08-13T00:00:00"/>
    <x v="3"/>
    <x v="0"/>
    <x v="1"/>
    <x v="4"/>
    <s v="Resolved"/>
    <n v="119"/>
    <n v="18"/>
    <n v="5"/>
  </r>
  <r>
    <x v="25"/>
    <d v="2026-08-06T00:00:00"/>
    <x v="3"/>
    <x v="1"/>
    <x v="1"/>
    <x v="1"/>
    <s v="Resolved"/>
    <n v="145"/>
    <n v="13"/>
    <n v="2"/>
  </r>
  <r>
    <x v="26"/>
    <d v="2026-08-21T00:00:00"/>
    <x v="2"/>
    <x v="0"/>
    <x v="1"/>
    <x v="4"/>
    <s v="Resolved"/>
    <n v="129"/>
    <n v="62"/>
    <n v="4"/>
  </r>
  <r>
    <x v="27"/>
    <d v="2026-08-28T00:00:00"/>
    <x v="1"/>
    <x v="0"/>
    <x v="1"/>
    <x v="5"/>
    <s v="Resolved"/>
    <n v="104"/>
    <n v="34"/>
    <n v="5"/>
  </r>
  <r>
    <x v="28"/>
    <d v="2026-08-10T00:00:00"/>
    <x v="1"/>
    <x v="1"/>
    <x v="1"/>
    <x v="4"/>
    <s v="Resolved"/>
    <n v="19"/>
    <n v="70"/>
    <n v="2"/>
  </r>
  <r>
    <x v="29"/>
    <d v="2026-08-24T00:00:00"/>
    <x v="3"/>
    <x v="0"/>
    <x v="1"/>
    <x v="2"/>
    <s v="Pending"/>
    <n v="140"/>
    <n v="21"/>
    <n v="2"/>
  </r>
  <r>
    <x v="30"/>
    <d v="2026-08-31T00:00:00"/>
    <x v="2"/>
    <x v="0"/>
    <x v="1"/>
    <x v="1"/>
    <s v="Pending"/>
    <n v="177"/>
    <n v="31"/>
    <n v="5"/>
  </r>
  <r>
    <x v="31"/>
    <d v="2026-08-04T00:00:00"/>
    <x v="2"/>
    <x v="2"/>
    <x v="0"/>
    <x v="7"/>
    <s v="Pending"/>
    <n v="112"/>
    <n v="67"/>
    <n v="4"/>
  </r>
  <r>
    <x v="32"/>
    <d v="2026-08-30T00:00:00"/>
    <x v="3"/>
    <x v="2"/>
    <x v="0"/>
    <x v="3"/>
    <s v="Resolved"/>
    <n v="106"/>
    <n v="17"/>
    <n v="4"/>
  </r>
  <r>
    <x v="33"/>
    <d v="2026-08-15T00:00:00"/>
    <x v="3"/>
    <x v="0"/>
    <x v="1"/>
    <x v="2"/>
    <s v="Pending"/>
    <n v="149"/>
    <n v="13"/>
    <n v="3"/>
  </r>
  <r>
    <x v="34"/>
    <d v="2026-08-18T00:00:00"/>
    <x v="4"/>
    <x v="3"/>
    <x v="1"/>
    <x v="3"/>
    <s v="Closed"/>
    <n v="67"/>
    <n v="48"/>
    <n v="4"/>
  </r>
  <r>
    <x v="35"/>
    <d v="2026-08-06T00:00:00"/>
    <x v="1"/>
    <x v="3"/>
    <x v="0"/>
    <x v="7"/>
    <s v="Escalated"/>
    <n v="146"/>
    <n v="39"/>
    <n v="3"/>
  </r>
  <r>
    <x v="36"/>
    <d v="2026-08-31T00:00:00"/>
    <x v="4"/>
    <x v="3"/>
    <x v="1"/>
    <x v="1"/>
    <s v="Escalated"/>
    <n v="44"/>
    <n v="35"/>
    <n v="4"/>
  </r>
  <r>
    <x v="37"/>
    <d v="2026-08-20T00:00:00"/>
    <x v="4"/>
    <x v="3"/>
    <x v="1"/>
    <x v="0"/>
    <s v="Pending"/>
    <n v="69"/>
    <n v="7"/>
    <n v="3"/>
  </r>
  <r>
    <x v="38"/>
    <d v="2026-08-21T00:00:00"/>
    <x v="1"/>
    <x v="3"/>
    <x v="1"/>
    <x v="7"/>
    <s v="Resolved"/>
    <n v="38"/>
    <n v="34"/>
    <n v="3"/>
  </r>
  <r>
    <x v="39"/>
    <d v="2026-08-24T00:00:00"/>
    <x v="1"/>
    <x v="1"/>
    <x v="0"/>
    <x v="7"/>
    <s v="Resolved"/>
    <n v="43"/>
    <n v="70"/>
    <n v="2"/>
  </r>
  <r>
    <x v="40"/>
    <d v="2026-08-27T00:00:00"/>
    <x v="3"/>
    <x v="2"/>
    <x v="2"/>
    <x v="6"/>
    <s v="Resolved"/>
    <n v="98"/>
    <n v="6"/>
    <n v="4"/>
  </r>
  <r>
    <x v="41"/>
    <d v="2026-08-07T00:00:00"/>
    <x v="4"/>
    <x v="0"/>
    <x v="2"/>
    <x v="5"/>
    <s v="Closed"/>
    <n v="44"/>
    <n v="31"/>
    <n v="3"/>
  </r>
  <r>
    <x v="42"/>
    <d v="2026-08-26T00:00:00"/>
    <x v="4"/>
    <x v="1"/>
    <x v="1"/>
    <x v="6"/>
    <s v="Escalated"/>
    <n v="90"/>
    <n v="53"/>
    <n v="4"/>
  </r>
  <r>
    <x v="43"/>
    <d v="2026-08-09T00:00:00"/>
    <x v="4"/>
    <x v="0"/>
    <x v="2"/>
    <x v="7"/>
    <s v="Closed"/>
    <n v="61"/>
    <n v="26"/>
    <n v="5"/>
  </r>
  <r>
    <x v="44"/>
    <d v="2026-08-12T00:00:00"/>
    <x v="3"/>
    <x v="2"/>
    <x v="1"/>
    <x v="7"/>
    <s v="Escalated"/>
    <n v="107"/>
    <n v="43"/>
    <n v="4"/>
  </r>
  <r>
    <x v="45"/>
    <d v="2026-08-28T00:00:00"/>
    <x v="0"/>
    <x v="3"/>
    <x v="2"/>
    <x v="5"/>
    <s v="Escalated"/>
    <n v="142"/>
    <n v="43"/>
    <n v="2"/>
  </r>
  <r>
    <x v="46"/>
    <d v="2026-08-04T00:00:00"/>
    <x v="3"/>
    <x v="2"/>
    <x v="0"/>
    <x v="0"/>
    <s v="Resolved"/>
    <n v="157"/>
    <n v="56"/>
    <n v="4"/>
  </r>
  <r>
    <x v="47"/>
    <d v="2026-08-24T00:00:00"/>
    <x v="3"/>
    <x v="1"/>
    <x v="0"/>
    <x v="1"/>
    <s v="Resolved"/>
    <n v="152"/>
    <n v="25"/>
    <n v="4"/>
  </r>
  <r>
    <x v="48"/>
    <d v="2026-08-02T00:00:00"/>
    <x v="1"/>
    <x v="0"/>
    <x v="0"/>
    <x v="4"/>
    <s v="Resolved"/>
    <n v="22"/>
    <n v="43"/>
    <n v="4"/>
  </r>
  <r>
    <x v="49"/>
    <d v="2026-08-22T00:00:00"/>
    <x v="0"/>
    <x v="3"/>
    <x v="0"/>
    <x v="0"/>
    <s v="Escalated"/>
    <n v="88"/>
    <n v="52"/>
    <n v="4"/>
  </r>
  <r>
    <x v="50"/>
    <d v="2026-08-18T00:00:00"/>
    <x v="4"/>
    <x v="2"/>
    <x v="2"/>
    <x v="5"/>
    <s v="Escalated"/>
    <n v="49"/>
    <n v="39"/>
    <n v="5"/>
  </r>
  <r>
    <x v="51"/>
    <d v="2026-08-18T00:00:00"/>
    <x v="0"/>
    <x v="3"/>
    <x v="2"/>
    <x v="4"/>
    <s v="Resolved"/>
    <n v="153"/>
    <n v="42"/>
    <n v="5"/>
  </r>
  <r>
    <x v="52"/>
    <d v="2026-08-15T00:00:00"/>
    <x v="1"/>
    <x v="2"/>
    <x v="0"/>
    <x v="2"/>
    <s v="Escalated"/>
    <n v="48"/>
    <n v="11"/>
    <n v="4"/>
  </r>
  <r>
    <x v="53"/>
    <d v="2026-08-17T00:00:00"/>
    <x v="2"/>
    <x v="3"/>
    <x v="1"/>
    <x v="4"/>
    <s v="Escalated"/>
    <n v="62"/>
    <n v="26"/>
    <n v="3"/>
  </r>
  <r>
    <x v="54"/>
    <d v="2026-08-01T00:00:00"/>
    <x v="0"/>
    <x v="2"/>
    <x v="2"/>
    <x v="1"/>
    <s v="Pending"/>
    <n v="166"/>
    <n v="25"/>
    <n v="5"/>
  </r>
  <r>
    <x v="55"/>
    <d v="2026-08-16T00:00:00"/>
    <x v="1"/>
    <x v="2"/>
    <x v="1"/>
    <x v="7"/>
    <s v="Closed"/>
    <n v="32"/>
    <n v="55"/>
    <n v="4"/>
  </r>
  <r>
    <x v="56"/>
    <d v="2026-08-06T00:00:00"/>
    <x v="2"/>
    <x v="1"/>
    <x v="1"/>
    <x v="4"/>
    <s v="Closed"/>
    <n v="36"/>
    <n v="59"/>
    <n v="3"/>
  </r>
  <r>
    <x v="57"/>
    <d v="2026-08-26T00:00:00"/>
    <x v="1"/>
    <x v="3"/>
    <x v="2"/>
    <x v="5"/>
    <s v="Closed"/>
    <n v="145"/>
    <n v="58"/>
    <n v="3"/>
  </r>
  <r>
    <x v="58"/>
    <d v="2026-08-24T00:00:00"/>
    <x v="1"/>
    <x v="1"/>
    <x v="2"/>
    <x v="4"/>
    <s v="Closed"/>
    <n v="75"/>
    <n v="67"/>
    <n v="5"/>
  </r>
  <r>
    <x v="59"/>
    <d v="2026-08-21T00:00:00"/>
    <x v="4"/>
    <x v="3"/>
    <x v="2"/>
    <x v="1"/>
    <s v="Escalated"/>
    <n v="65"/>
    <n v="35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CD9C54-8890-4A67-AB08-A4DCA91E95E3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hannels">
  <location ref="G3:H7" firstHeaderRow="1" firstDataRow="1" firstDataCol="1"/>
  <pivotFields count="10">
    <pivotField dataField="1" showAll="0"/>
    <pivotField numFmtId="164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icketID" fld="0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6CBA2D-1FDC-45D2-B845-598DFB18A769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Priority ">
  <location ref="D3:E8" firstHeaderRow="1" firstDataRow="1" firstDataCol="1"/>
  <pivotFields count="10">
    <pivotField dataField="1" showAll="0"/>
    <pivotField numFmtId="164"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icket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48AD95-6AB9-49F1-A825-0D964037428D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A3:B9" firstHeaderRow="1" firstDataRow="1" firstDataCol="1"/>
  <pivotFields count="10">
    <pivotField dataField="1" showAll="0"/>
    <pivotField numFmtId="164" showAll="0"/>
    <pivotField axis="axisRow" showAll="0">
      <items count="6">
        <item x="0"/>
        <item x="1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icket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BB7C5A-EB81-4A5A-9858-6684FEBEA0FA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Agents">
  <location ref="J3:K12" firstHeaderRow="1" firstDataRow="1" firstDataCol="1"/>
  <pivotFields count="10">
    <pivotField dataField="1" showAll="0"/>
    <pivotField numFmtId="164" showAll="0"/>
    <pivotField showAll="0"/>
    <pivotField showAll="0"/>
    <pivotField showAll="0"/>
    <pivotField axis="axisRow" showAll="0">
      <items count="9">
        <item x="7"/>
        <item x="4"/>
        <item x="3"/>
        <item x="0"/>
        <item x="1"/>
        <item x="5"/>
        <item x="6"/>
        <item x="2"/>
        <item t="default"/>
      </items>
    </pivotField>
    <pivotField showAll="0"/>
    <pivotField showAll="0"/>
    <pivotField showAll="0"/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Ticket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50FA54-579D-4719-B559-2E518AB2E064}" name="Tickets" displayName="Tickets" ref="A1:J61" totalsRowShown="0" headerRowDxfId="20" dataDxfId="18" headerRowBorderDxfId="19" tableBorderDxfId="17" totalsRowBorderDxfId="16">
  <autoFilter ref="A1:J61" xr:uid="{BA50FA54-579D-4719-B559-2E518AB2E064}"/>
  <tableColumns count="10">
    <tableColumn id="1" xr3:uid="{5D785542-A44C-4409-905C-E48AE2A5318A}" name="TicketID" dataDxfId="15"/>
    <tableColumn id="2" xr3:uid="{E193D785-8FED-4332-94D2-1ACC5A927DDE}" name="OpenedDate" dataDxfId="14"/>
    <tableColumn id="3" xr3:uid="{1B172E5C-6B33-4F54-A7D5-6323B397038F}" name="Category" dataDxfId="13"/>
    <tableColumn id="4" xr3:uid="{437A0224-35A0-4672-82F4-AA874F704078}" name="Priority" dataDxfId="12"/>
    <tableColumn id="5" xr3:uid="{FC473E42-D2DC-4539-BFD5-83E2BFD5B6B6}" name="Channel" dataDxfId="11"/>
    <tableColumn id="6" xr3:uid="{A932DD61-6454-48C2-A0DF-8653CB2D448F}" name="Agent" dataDxfId="10"/>
    <tableColumn id="7" xr3:uid="{2FCDEED1-A800-43D9-AA5D-D0E81FC83117}" name="Status" dataDxfId="9"/>
    <tableColumn id="8" xr3:uid="{C16686C9-3A60-4C2A-9714-D79783C80733}" name="FirstResponse_Min" dataDxfId="8"/>
    <tableColumn id="9" xr3:uid="{B722A2D9-013E-40FB-8DBD-276EDFBCDF81}" name="Resolution_Hours" dataDxfId="7"/>
    <tableColumn id="10" xr3:uid="{A656ADBE-6FA6-4D29-ACCD-05A50F1EE15D}" name="CSAT" data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59E6-C2B4-4645-A99C-DE2CE5902480}">
  <dimension ref="A1:J61"/>
  <sheetViews>
    <sheetView topLeftCell="A2" workbookViewId="0">
      <selection activeCell="E18" sqref="E18"/>
    </sheetView>
  </sheetViews>
  <sheetFormatPr defaultRowHeight="14.4" x14ac:dyDescent="0.3"/>
  <cols>
    <col min="1" max="1" width="9.6640625" customWidth="1"/>
    <col min="2" max="2" width="13.44140625" customWidth="1"/>
    <col min="3" max="3" width="10.44140625" customWidth="1"/>
    <col min="4" max="4" width="9" customWidth="1"/>
    <col min="5" max="5" width="9.77734375" customWidth="1"/>
    <col min="6" max="6" width="17.33203125" customWidth="1"/>
    <col min="8" max="8" width="18.6640625" customWidth="1"/>
    <col min="9" max="9" width="26.21875" customWidth="1"/>
  </cols>
  <sheetData>
    <row r="1" spans="1:10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3">
      <c r="A2" s="4" t="s">
        <v>10</v>
      </c>
      <c r="B2" s="6">
        <v>46255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40</v>
      </c>
      <c r="I2" s="2">
        <v>14</v>
      </c>
      <c r="J2" s="15">
        <v>3</v>
      </c>
    </row>
    <row r="3" spans="1:10" x14ac:dyDescent="0.3">
      <c r="A3" s="5" t="s">
        <v>16</v>
      </c>
      <c r="B3" s="7">
        <v>46253</v>
      </c>
      <c r="C3" s="3" t="s">
        <v>17</v>
      </c>
      <c r="D3" s="3" t="s">
        <v>12</v>
      </c>
      <c r="E3" s="3" t="s">
        <v>18</v>
      </c>
      <c r="F3" s="3" t="s">
        <v>19</v>
      </c>
      <c r="G3" s="3" t="s">
        <v>15</v>
      </c>
      <c r="H3" s="3">
        <v>134</v>
      </c>
      <c r="I3" s="3">
        <v>4</v>
      </c>
      <c r="J3" s="3">
        <v>4</v>
      </c>
    </row>
    <row r="4" spans="1:10" x14ac:dyDescent="0.3">
      <c r="A4" s="4" t="s">
        <v>20</v>
      </c>
      <c r="B4" s="6">
        <v>46257</v>
      </c>
      <c r="C4" s="2" t="s">
        <v>21</v>
      </c>
      <c r="D4" s="2" t="s">
        <v>22</v>
      </c>
      <c r="E4" s="2" t="s">
        <v>18</v>
      </c>
      <c r="F4" s="2" t="s">
        <v>23</v>
      </c>
      <c r="G4" s="2" t="s">
        <v>24</v>
      </c>
      <c r="H4" s="2">
        <v>6</v>
      </c>
      <c r="I4" s="2">
        <v>21</v>
      </c>
      <c r="J4" s="3">
        <v>5</v>
      </c>
    </row>
    <row r="5" spans="1:10" x14ac:dyDescent="0.3">
      <c r="A5" s="5" t="s">
        <v>25</v>
      </c>
      <c r="B5" s="7">
        <v>46245</v>
      </c>
      <c r="C5" s="3" t="s">
        <v>26</v>
      </c>
      <c r="D5" s="3" t="s">
        <v>27</v>
      </c>
      <c r="E5" s="3" t="s">
        <v>18</v>
      </c>
      <c r="F5" s="3" t="s">
        <v>28</v>
      </c>
      <c r="G5" s="3" t="s">
        <v>15</v>
      </c>
      <c r="H5" s="3">
        <v>102</v>
      </c>
      <c r="I5" s="3">
        <v>13</v>
      </c>
      <c r="J5" s="3">
        <v>4</v>
      </c>
    </row>
    <row r="6" spans="1:10" x14ac:dyDescent="0.3">
      <c r="A6" s="4" t="s">
        <v>29</v>
      </c>
      <c r="B6" s="6">
        <v>46262</v>
      </c>
      <c r="C6" s="2" t="s">
        <v>26</v>
      </c>
      <c r="D6" s="2" t="s">
        <v>30</v>
      </c>
      <c r="E6" s="2" t="s">
        <v>18</v>
      </c>
      <c r="F6" s="2" t="s">
        <v>23</v>
      </c>
      <c r="G6" s="2" t="s">
        <v>24</v>
      </c>
      <c r="H6" s="2">
        <v>101</v>
      </c>
      <c r="I6" s="2">
        <v>11</v>
      </c>
      <c r="J6" s="3">
        <v>4</v>
      </c>
    </row>
    <row r="7" spans="1:10" x14ac:dyDescent="0.3">
      <c r="A7" s="5" t="s">
        <v>31</v>
      </c>
      <c r="B7" s="7">
        <v>46261</v>
      </c>
      <c r="C7" s="3" t="s">
        <v>21</v>
      </c>
      <c r="D7" s="3" t="s">
        <v>30</v>
      </c>
      <c r="E7" s="3" t="s">
        <v>13</v>
      </c>
      <c r="F7" s="3" t="s">
        <v>32</v>
      </c>
      <c r="G7" s="3" t="s">
        <v>33</v>
      </c>
      <c r="H7" s="3">
        <v>16</v>
      </c>
      <c r="I7" s="3">
        <v>30</v>
      </c>
      <c r="J7" s="3">
        <v>4</v>
      </c>
    </row>
    <row r="8" spans="1:10" x14ac:dyDescent="0.3">
      <c r="A8" s="4" t="s">
        <v>34</v>
      </c>
      <c r="B8" s="6">
        <v>46237</v>
      </c>
      <c r="C8" s="2" t="s">
        <v>35</v>
      </c>
      <c r="D8" s="2" t="s">
        <v>12</v>
      </c>
      <c r="E8" s="2" t="s">
        <v>36</v>
      </c>
      <c r="F8" s="2" t="s">
        <v>14</v>
      </c>
      <c r="G8" s="2" t="s">
        <v>24</v>
      </c>
      <c r="H8" s="2">
        <v>98</v>
      </c>
      <c r="I8" s="2">
        <v>21</v>
      </c>
      <c r="J8" s="3">
        <v>4</v>
      </c>
    </row>
    <row r="9" spans="1:10" x14ac:dyDescent="0.3">
      <c r="A9" s="5" t="s">
        <v>37</v>
      </c>
      <c r="B9" s="7">
        <v>46246</v>
      </c>
      <c r="C9" s="3" t="s">
        <v>35</v>
      </c>
      <c r="D9" s="3" t="s">
        <v>30</v>
      </c>
      <c r="E9" s="3" t="s">
        <v>13</v>
      </c>
      <c r="F9" s="3" t="s">
        <v>19</v>
      </c>
      <c r="G9" s="3" t="s">
        <v>24</v>
      </c>
      <c r="H9" s="3">
        <v>48</v>
      </c>
      <c r="I9" s="3">
        <v>69</v>
      </c>
      <c r="J9" s="3">
        <v>4</v>
      </c>
    </row>
    <row r="10" spans="1:10" x14ac:dyDescent="0.3">
      <c r="A10" s="4" t="s">
        <v>38</v>
      </c>
      <c r="B10" s="6">
        <v>46240</v>
      </c>
      <c r="C10" s="2" t="s">
        <v>17</v>
      </c>
      <c r="D10" s="2" t="s">
        <v>22</v>
      </c>
      <c r="E10" s="2" t="s">
        <v>36</v>
      </c>
      <c r="F10" s="2" t="s">
        <v>32</v>
      </c>
      <c r="G10" s="2" t="s">
        <v>33</v>
      </c>
      <c r="H10" s="2">
        <v>19</v>
      </c>
      <c r="I10" s="2">
        <v>30</v>
      </c>
      <c r="J10" s="3">
        <v>2</v>
      </c>
    </row>
    <row r="11" spans="1:10" x14ac:dyDescent="0.3">
      <c r="A11" s="5" t="s">
        <v>39</v>
      </c>
      <c r="B11" s="7">
        <v>46260</v>
      </c>
      <c r="C11" s="3" t="s">
        <v>26</v>
      </c>
      <c r="D11" s="3" t="s">
        <v>22</v>
      </c>
      <c r="E11" s="3" t="s">
        <v>36</v>
      </c>
      <c r="F11" s="3" t="s">
        <v>19</v>
      </c>
      <c r="G11" s="3" t="s">
        <v>15</v>
      </c>
      <c r="H11" s="3">
        <v>150</v>
      </c>
      <c r="I11" s="3">
        <v>41</v>
      </c>
      <c r="J11" s="3">
        <v>4</v>
      </c>
    </row>
    <row r="12" spans="1:10" x14ac:dyDescent="0.3">
      <c r="A12" s="4" t="s">
        <v>40</v>
      </c>
      <c r="B12" s="6">
        <v>46255</v>
      </c>
      <c r="C12" s="2" t="s">
        <v>17</v>
      </c>
      <c r="D12" s="2" t="s">
        <v>22</v>
      </c>
      <c r="E12" s="2" t="s">
        <v>13</v>
      </c>
      <c r="F12" s="2" t="s">
        <v>23</v>
      </c>
      <c r="G12" s="2" t="s">
        <v>15</v>
      </c>
      <c r="H12" s="2">
        <v>40</v>
      </c>
      <c r="I12" s="2">
        <v>32</v>
      </c>
      <c r="J12" s="3">
        <v>4</v>
      </c>
    </row>
    <row r="13" spans="1:10" x14ac:dyDescent="0.3">
      <c r="A13" s="5" t="s">
        <v>41</v>
      </c>
      <c r="B13" s="7">
        <v>46258</v>
      </c>
      <c r="C13" s="3" t="s">
        <v>21</v>
      </c>
      <c r="D13" s="3" t="s">
        <v>22</v>
      </c>
      <c r="E13" s="3" t="s">
        <v>13</v>
      </c>
      <c r="F13" s="3" t="s">
        <v>42</v>
      </c>
      <c r="G13" s="3" t="s">
        <v>15</v>
      </c>
      <c r="H13" s="3">
        <v>40</v>
      </c>
      <c r="I13" s="3">
        <v>66</v>
      </c>
      <c r="J13" s="3">
        <v>5</v>
      </c>
    </row>
    <row r="14" spans="1:10" x14ac:dyDescent="0.3">
      <c r="A14" s="4" t="s">
        <v>43</v>
      </c>
      <c r="B14" s="6">
        <v>46237</v>
      </c>
      <c r="C14" s="2" t="s">
        <v>11</v>
      </c>
      <c r="D14" s="2" t="s">
        <v>12</v>
      </c>
      <c r="E14" s="2" t="s">
        <v>18</v>
      </c>
      <c r="F14" s="2" t="s">
        <v>44</v>
      </c>
      <c r="G14" s="2" t="s">
        <v>33</v>
      </c>
      <c r="H14" s="2">
        <v>113</v>
      </c>
      <c r="I14" s="2">
        <v>9</v>
      </c>
      <c r="J14" s="3">
        <v>5</v>
      </c>
    </row>
    <row r="15" spans="1:10" x14ac:dyDescent="0.3">
      <c r="A15" s="5" t="s">
        <v>45</v>
      </c>
      <c r="B15" s="7">
        <v>46247</v>
      </c>
      <c r="C15" s="3" t="s">
        <v>21</v>
      </c>
      <c r="D15" s="3" t="s">
        <v>22</v>
      </c>
      <c r="E15" s="3" t="s">
        <v>13</v>
      </c>
      <c r="F15" s="3" t="s">
        <v>14</v>
      </c>
      <c r="G15" s="3" t="s">
        <v>46</v>
      </c>
      <c r="H15" s="3">
        <v>7</v>
      </c>
      <c r="I15" s="3">
        <v>15</v>
      </c>
      <c r="J15" s="3">
        <v>4</v>
      </c>
    </row>
    <row r="16" spans="1:10" x14ac:dyDescent="0.3">
      <c r="A16" s="4" t="s">
        <v>47</v>
      </c>
      <c r="B16" s="6">
        <v>46259</v>
      </c>
      <c r="C16" s="2" t="s">
        <v>26</v>
      </c>
      <c r="D16" s="2" t="s">
        <v>12</v>
      </c>
      <c r="E16" s="2" t="s">
        <v>36</v>
      </c>
      <c r="F16" s="2" t="s">
        <v>42</v>
      </c>
      <c r="G16" s="2" t="s">
        <v>15</v>
      </c>
      <c r="H16" s="2">
        <v>5</v>
      </c>
      <c r="I16" s="2">
        <v>34</v>
      </c>
      <c r="J16" s="3">
        <v>3</v>
      </c>
    </row>
    <row r="17" spans="1:10" x14ac:dyDescent="0.3">
      <c r="A17" s="5" t="s">
        <v>48</v>
      </c>
      <c r="B17" s="7">
        <v>46251</v>
      </c>
      <c r="C17" s="3" t="s">
        <v>11</v>
      </c>
      <c r="D17" s="3" t="s">
        <v>30</v>
      </c>
      <c r="E17" s="3" t="s">
        <v>13</v>
      </c>
      <c r="F17" s="3" t="s">
        <v>32</v>
      </c>
      <c r="G17" s="3" t="s">
        <v>15</v>
      </c>
      <c r="H17" s="3">
        <v>46</v>
      </c>
      <c r="I17" s="3">
        <v>70</v>
      </c>
      <c r="J17" s="3">
        <v>2</v>
      </c>
    </row>
    <row r="18" spans="1:10" x14ac:dyDescent="0.3">
      <c r="A18" s="4" t="s">
        <v>49</v>
      </c>
      <c r="B18" s="6">
        <v>46254</v>
      </c>
      <c r="C18" s="2" t="s">
        <v>26</v>
      </c>
      <c r="D18" s="2" t="s">
        <v>22</v>
      </c>
      <c r="E18" s="2" t="s">
        <v>18</v>
      </c>
      <c r="F18" s="2" t="s">
        <v>19</v>
      </c>
      <c r="G18" s="2" t="s">
        <v>46</v>
      </c>
      <c r="H18" s="2">
        <v>83</v>
      </c>
      <c r="I18" s="2">
        <v>31</v>
      </c>
      <c r="J18" s="3">
        <v>2</v>
      </c>
    </row>
    <row r="19" spans="1:10" x14ac:dyDescent="0.3">
      <c r="A19" s="5" t="s">
        <v>50</v>
      </c>
      <c r="B19" s="7">
        <v>46242</v>
      </c>
      <c r="C19" s="3" t="s">
        <v>21</v>
      </c>
      <c r="D19" s="3" t="s">
        <v>12</v>
      </c>
      <c r="E19" s="3" t="s">
        <v>18</v>
      </c>
      <c r="F19" s="3" t="s">
        <v>23</v>
      </c>
      <c r="G19" s="3" t="s">
        <v>46</v>
      </c>
      <c r="H19" s="3">
        <v>141</v>
      </c>
      <c r="I19" s="3">
        <v>17</v>
      </c>
      <c r="J19" s="3">
        <v>3</v>
      </c>
    </row>
    <row r="20" spans="1:10" x14ac:dyDescent="0.3">
      <c r="A20" s="4" t="s">
        <v>51</v>
      </c>
      <c r="B20" s="6">
        <v>46256</v>
      </c>
      <c r="C20" s="2" t="s">
        <v>17</v>
      </c>
      <c r="D20" s="2" t="s">
        <v>27</v>
      </c>
      <c r="E20" s="2" t="s">
        <v>36</v>
      </c>
      <c r="F20" s="2" t="s">
        <v>42</v>
      </c>
      <c r="G20" s="2" t="s">
        <v>46</v>
      </c>
      <c r="H20" s="2">
        <v>143</v>
      </c>
      <c r="I20" s="2">
        <v>26</v>
      </c>
      <c r="J20" s="3">
        <v>4</v>
      </c>
    </row>
    <row r="21" spans="1:10" x14ac:dyDescent="0.3">
      <c r="A21" s="5" t="s">
        <v>52</v>
      </c>
      <c r="B21" s="7">
        <v>46247</v>
      </c>
      <c r="C21" s="3" t="s">
        <v>26</v>
      </c>
      <c r="D21" s="3" t="s">
        <v>22</v>
      </c>
      <c r="E21" s="3" t="s">
        <v>13</v>
      </c>
      <c r="F21" s="3" t="s">
        <v>23</v>
      </c>
      <c r="G21" s="3" t="s">
        <v>15</v>
      </c>
      <c r="H21" s="3">
        <v>62</v>
      </c>
      <c r="I21" s="3">
        <v>9</v>
      </c>
      <c r="J21" s="3">
        <v>4</v>
      </c>
    </row>
    <row r="22" spans="1:10" x14ac:dyDescent="0.3">
      <c r="A22" s="4" t="s">
        <v>53</v>
      </c>
      <c r="B22" s="6">
        <v>46235</v>
      </c>
      <c r="C22" s="2" t="s">
        <v>21</v>
      </c>
      <c r="D22" s="2" t="s">
        <v>27</v>
      </c>
      <c r="E22" s="2" t="s">
        <v>13</v>
      </c>
      <c r="F22" s="2" t="s">
        <v>32</v>
      </c>
      <c r="G22" s="2" t="s">
        <v>15</v>
      </c>
      <c r="H22" s="2">
        <v>166</v>
      </c>
      <c r="I22" s="2">
        <v>8</v>
      </c>
      <c r="J22" s="3">
        <v>4</v>
      </c>
    </row>
    <row r="23" spans="1:10" x14ac:dyDescent="0.3">
      <c r="A23" s="5" t="s">
        <v>54</v>
      </c>
      <c r="B23" s="7">
        <v>46237</v>
      </c>
      <c r="C23" s="3" t="s">
        <v>11</v>
      </c>
      <c r="D23" s="3" t="s">
        <v>30</v>
      </c>
      <c r="E23" s="3" t="s">
        <v>18</v>
      </c>
      <c r="F23" s="3" t="s">
        <v>32</v>
      </c>
      <c r="G23" s="3" t="s">
        <v>15</v>
      </c>
      <c r="H23" s="3">
        <v>129</v>
      </c>
      <c r="I23" s="3">
        <v>28</v>
      </c>
      <c r="J23" s="3">
        <v>3</v>
      </c>
    </row>
    <row r="24" spans="1:10" x14ac:dyDescent="0.3">
      <c r="A24" s="4" t="s">
        <v>55</v>
      </c>
      <c r="B24" s="6">
        <v>46258</v>
      </c>
      <c r="C24" s="2" t="s">
        <v>21</v>
      </c>
      <c r="D24" s="2" t="s">
        <v>22</v>
      </c>
      <c r="E24" s="2" t="s">
        <v>18</v>
      </c>
      <c r="F24" s="2" t="s">
        <v>23</v>
      </c>
      <c r="G24" s="2" t="s">
        <v>46</v>
      </c>
      <c r="H24" s="2">
        <v>53</v>
      </c>
      <c r="I24" s="2">
        <v>13</v>
      </c>
      <c r="J24" s="3">
        <v>3</v>
      </c>
    </row>
    <row r="25" spans="1:10" x14ac:dyDescent="0.3">
      <c r="A25" s="5" t="s">
        <v>56</v>
      </c>
      <c r="B25" s="7">
        <v>46256</v>
      </c>
      <c r="C25" s="3" t="s">
        <v>17</v>
      </c>
      <c r="D25" s="3" t="s">
        <v>30</v>
      </c>
      <c r="E25" s="3" t="s">
        <v>36</v>
      </c>
      <c r="F25" s="3" t="s">
        <v>42</v>
      </c>
      <c r="G25" s="3" t="s">
        <v>24</v>
      </c>
      <c r="H25" s="3">
        <v>18</v>
      </c>
      <c r="I25" s="3">
        <v>13</v>
      </c>
      <c r="J25" s="3">
        <v>2</v>
      </c>
    </row>
    <row r="26" spans="1:10" x14ac:dyDescent="0.3">
      <c r="A26" s="4" t="s">
        <v>57</v>
      </c>
      <c r="B26" s="6">
        <v>46247</v>
      </c>
      <c r="C26" s="2" t="s">
        <v>26</v>
      </c>
      <c r="D26" s="2" t="s">
        <v>12</v>
      </c>
      <c r="E26" s="2" t="s">
        <v>18</v>
      </c>
      <c r="F26" s="2" t="s">
        <v>32</v>
      </c>
      <c r="G26" s="2" t="s">
        <v>15</v>
      </c>
      <c r="H26" s="2">
        <v>119</v>
      </c>
      <c r="I26" s="2">
        <v>18</v>
      </c>
      <c r="J26" s="3">
        <v>5</v>
      </c>
    </row>
    <row r="27" spans="1:10" x14ac:dyDescent="0.3">
      <c r="A27" s="5" t="s">
        <v>58</v>
      </c>
      <c r="B27" s="7">
        <v>46240</v>
      </c>
      <c r="C27" s="3" t="s">
        <v>26</v>
      </c>
      <c r="D27" s="3" t="s">
        <v>22</v>
      </c>
      <c r="E27" s="3" t="s">
        <v>18</v>
      </c>
      <c r="F27" s="3" t="s">
        <v>19</v>
      </c>
      <c r="G27" s="3" t="s">
        <v>15</v>
      </c>
      <c r="H27" s="3">
        <v>145</v>
      </c>
      <c r="I27" s="3">
        <v>13</v>
      </c>
      <c r="J27" s="3">
        <v>2</v>
      </c>
    </row>
    <row r="28" spans="1:10" x14ac:dyDescent="0.3">
      <c r="A28" s="4" t="s">
        <v>59</v>
      </c>
      <c r="B28" s="6">
        <v>46255</v>
      </c>
      <c r="C28" s="2" t="s">
        <v>21</v>
      </c>
      <c r="D28" s="2" t="s">
        <v>12</v>
      </c>
      <c r="E28" s="2" t="s">
        <v>18</v>
      </c>
      <c r="F28" s="2" t="s">
        <v>32</v>
      </c>
      <c r="G28" s="2" t="s">
        <v>15</v>
      </c>
      <c r="H28" s="2">
        <v>129</v>
      </c>
      <c r="I28" s="2">
        <v>62</v>
      </c>
      <c r="J28" s="3">
        <v>4</v>
      </c>
    </row>
    <row r="29" spans="1:10" x14ac:dyDescent="0.3">
      <c r="A29" s="5" t="s">
        <v>60</v>
      </c>
      <c r="B29" s="7">
        <v>46262</v>
      </c>
      <c r="C29" s="3" t="s">
        <v>17</v>
      </c>
      <c r="D29" s="3" t="s">
        <v>12</v>
      </c>
      <c r="E29" s="3" t="s">
        <v>18</v>
      </c>
      <c r="F29" s="3" t="s">
        <v>42</v>
      </c>
      <c r="G29" s="3" t="s">
        <v>15</v>
      </c>
      <c r="H29" s="3">
        <v>104</v>
      </c>
      <c r="I29" s="3">
        <v>34</v>
      </c>
      <c r="J29" s="3">
        <v>5</v>
      </c>
    </row>
    <row r="30" spans="1:10" x14ac:dyDescent="0.3">
      <c r="A30" s="4" t="s">
        <v>61</v>
      </c>
      <c r="B30" s="6">
        <v>46244</v>
      </c>
      <c r="C30" s="2" t="s">
        <v>17</v>
      </c>
      <c r="D30" s="2" t="s">
        <v>22</v>
      </c>
      <c r="E30" s="2" t="s">
        <v>18</v>
      </c>
      <c r="F30" s="2" t="s">
        <v>32</v>
      </c>
      <c r="G30" s="2" t="s">
        <v>15</v>
      </c>
      <c r="H30" s="2">
        <v>19</v>
      </c>
      <c r="I30" s="2">
        <v>70</v>
      </c>
      <c r="J30" s="3">
        <v>2</v>
      </c>
    </row>
    <row r="31" spans="1:10" x14ac:dyDescent="0.3">
      <c r="A31" s="5" t="s">
        <v>62</v>
      </c>
      <c r="B31" s="7">
        <v>46258</v>
      </c>
      <c r="C31" s="3" t="s">
        <v>26</v>
      </c>
      <c r="D31" s="3" t="s">
        <v>12</v>
      </c>
      <c r="E31" s="3" t="s">
        <v>18</v>
      </c>
      <c r="F31" s="3" t="s">
        <v>23</v>
      </c>
      <c r="G31" s="3" t="s">
        <v>24</v>
      </c>
      <c r="H31" s="3">
        <v>140</v>
      </c>
      <c r="I31" s="3">
        <v>21</v>
      </c>
      <c r="J31" s="3">
        <v>2</v>
      </c>
    </row>
    <row r="32" spans="1:10" x14ac:dyDescent="0.3">
      <c r="A32" s="4" t="s">
        <v>63</v>
      </c>
      <c r="B32" s="6">
        <v>46265</v>
      </c>
      <c r="C32" s="2" t="s">
        <v>21</v>
      </c>
      <c r="D32" s="2" t="s">
        <v>12</v>
      </c>
      <c r="E32" s="2" t="s">
        <v>18</v>
      </c>
      <c r="F32" s="2" t="s">
        <v>19</v>
      </c>
      <c r="G32" s="2" t="s">
        <v>24</v>
      </c>
      <c r="H32" s="2">
        <v>177</v>
      </c>
      <c r="I32" s="2">
        <v>31</v>
      </c>
      <c r="J32" s="3">
        <v>5</v>
      </c>
    </row>
    <row r="33" spans="1:10" x14ac:dyDescent="0.3">
      <c r="A33" s="5" t="s">
        <v>64</v>
      </c>
      <c r="B33" s="7">
        <v>46238</v>
      </c>
      <c r="C33" s="3" t="s">
        <v>21</v>
      </c>
      <c r="D33" s="3" t="s">
        <v>27</v>
      </c>
      <c r="E33" s="3" t="s">
        <v>13</v>
      </c>
      <c r="F33" s="3" t="s">
        <v>65</v>
      </c>
      <c r="G33" s="3" t="s">
        <v>24</v>
      </c>
      <c r="H33" s="3">
        <v>112</v>
      </c>
      <c r="I33" s="3">
        <v>67</v>
      </c>
      <c r="J33" s="3">
        <v>4</v>
      </c>
    </row>
    <row r="34" spans="1:10" x14ac:dyDescent="0.3">
      <c r="A34" s="4" t="s">
        <v>66</v>
      </c>
      <c r="B34" s="6">
        <v>46264</v>
      </c>
      <c r="C34" s="2" t="s">
        <v>26</v>
      </c>
      <c r="D34" s="2" t="s">
        <v>27</v>
      </c>
      <c r="E34" s="2" t="s">
        <v>13</v>
      </c>
      <c r="F34" s="2" t="s">
        <v>28</v>
      </c>
      <c r="G34" s="2" t="s">
        <v>15</v>
      </c>
      <c r="H34" s="2">
        <v>106</v>
      </c>
      <c r="I34" s="2">
        <v>17</v>
      </c>
      <c r="J34" s="3">
        <v>4</v>
      </c>
    </row>
    <row r="35" spans="1:10" x14ac:dyDescent="0.3">
      <c r="A35" s="5" t="s">
        <v>67</v>
      </c>
      <c r="B35" s="7">
        <v>46249</v>
      </c>
      <c r="C35" s="3" t="s">
        <v>26</v>
      </c>
      <c r="D35" s="3" t="s">
        <v>12</v>
      </c>
      <c r="E35" s="3" t="s">
        <v>18</v>
      </c>
      <c r="F35" s="3" t="s">
        <v>23</v>
      </c>
      <c r="G35" s="3" t="s">
        <v>24</v>
      </c>
      <c r="H35" s="3">
        <v>149</v>
      </c>
      <c r="I35" s="3">
        <v>13</v>
      </c>
      <c r="J35" s="3">
        <v>3</v>
      </c>
    </row>
    <row r="36" spans="1:10" x14ac:dyDescent="0.3">
      <c r="A36" s="4" t="s">
        <v>68</v>
      </c>
      <c r="B36" s="6">
        <v>46252</v>
      </c>
      <c r="C36" s="2" t="s">
        <v>35</v>
      </c>
      <c r="D36" s="2" t="s">
        <v>30</v>
      </c>
      <c r="E36" s="2" t="s">
        <v>18</v>
      </c>
      <c r="F36" s="2" t="s">
        <v>28</v>
      </c>
      <c r="G36" s="2" t="s">
        <v>46</v>
      </c>
      <c r="H36" s="2">
        <v>67</v>
      </c>
      <c r="I36" s="2">
        <v>48</v>
      </c>
      <c r="J36" s="3">
        <v>4</v>
      </c>
    </row>
    <row r="37" spans="1:10" x14ac:dyDescent="0.3">
      <c r="A37" s="5" t="s">
        <v>69</v>
      </c>
      <c r="B37" s="7">
        <v>46240</v>
      </c>
      <c r="C37" s="3" t="s">
        <v>17</v>
      </c>
      <c r="D37" s="3" t="s">
        <v>30</v>
      </c>
      <c r="E37" s="3" t="s">
        <v>13</v>
      </c>
      <c r="F37" s="3" t="s">
        <v>65</v>
      </c>
      <c r="G37" s="3" t="s">
        <v>33</v>
      </c>
      <c r="H37" s="3">
        <v>146</v>
      </c>
      <c r="I37" s="3">
        <v>39</v>
      </c>
      <c r="J37" s="3">
        <v>3</v>
      </c>
    </row>
    <row r="38" spans="1:10" x14ac:dyDescent="0.3">
      <c r="A38" s="4" t="s">
        <v>70</v>
      </c>
      <c r="B38" s="6">
        <v>46265</v>
      </c>
      <c r="C38" s="2" t="s">
        <v>35</v>
      </c>
      <c r="D38" s="2" t="s">
        <v>30</v>
      </c>
      <c r="E38" s="2" t="s">
        <v>18</v>
      </c>
      <c r="F38" s="2" t="s">
        <v>19</v>
      </c>
      <c r="G38" s="2" t="s">
        <v>33</v>
      </c>
      <c r="H38" s="2">
        <v>44</v>
      </c>
      <c r="I38" s="2">
        <v>35</v>
      </c>
      <c r="J38" s="3">
        <v>4</v>
      </c>
    </row>
    <row r="39" spans="1:10" x14ac:dyDescent="0.3">
      <c r="A39" s="5" t="s">
        <v>71</v>
      </c>
      <c r="B39" s="7">
        <v>46254</v>
      </c>
      <c r="C39" s="3" t="s">
        <v>35</v>
      </c>
      <c r="D39" s="3" t="s">
        <v>30</v>
      </c>
      <c r="E39" s="3" t="s">
        <v>18</v>
      </c>
      <c r="F39" s="3" t="s">
        <v>14</v>
      </c>
      <c r="G39" s="3" t="s">
        <v>24</v>
      </c>
      <c r="H39" s="3">
        <v>69</v>
      </c>
      <c r="I39" s="3">
        <v>7</v>
      </c>
      <c r="J39" s="3">
        <v>3</v>
      </c>
    </row>
    <row r="40" spans="1:10" x14ac:dyDescent="0.3">
      <c r="A40" s="4" t="s">
        <v>72</v>
      </c>
      <c r="B40" s="6">
        <v>46255</v>
      </c>
      <c r="C40" s="2" t="s">
        <v>17</v>
      </c>
      <c r="D40" s="2" t="s">
        <v>30</v>
      </c>
      <c r="E40" s="2" t="s">
        <v>18</v>
      </c>
      <c r="F40" s="2" t="s">
        <v>65</v>
      </c>
      <c r="G40" s="2" t="s">
        <v>15</v>
      </c>
      <c r="H40" s="2">
        <v>38</v>
      </c>
      <c r="I40" s="2">
        <v>34</v>
      </c>
      <c r="J40" s="3">
        <v>3</v>
      </c>
    </row>
    <row r="41" spans="1:10" x14ac:dyDescent="0.3">
      <c r="A41" s="5" t="s">
        <v>73</v>
      </c>
      <c r="B41" s="7">
        <v>46258</v>
      </c>
      <c r="C41" s="3" t="s">
        <v>17</v>
      </c>
      <c r="D41" s="3" t="s">
        <v>22</v>
      </c>
      <c r="E41" s="3" t="s">
        <v>13</v>
      </c>
      <c r="F41" s="3" t="s">
        <v>65</v>
      </c>
      <c r="G41" s="3" t="s">
        <v>15</v>
      </c>
      <c r="H41" s="3">
        <v>43</v>
      </c>
      <c r="I41" s="3">
        <v>70</v>
      </c>
      <c r="J41" s="3">
        <v>2</v>
      </c>
    </row>
    <row r="42" spans="1:10" x14ac:dyDescent="0.3">
      <c r="A42" s="4" t="s">
        <v>74</v>
      </c>
      <c r="B42" s="6">
        <v>46261</v>
      </c>
      <c r="C42" s="2" t="s">
        <v>26</v>
      </c>
      <c r="D42" s="2" t="s">
        <v>27</v>
      </c>
      <c r="E42" s="2" t="s">
        <v>36</v>
      </c>
      <c r="F42" s="2" t="s">
        <v>44</v>
      </c>
      <c r="G42" s="2" t="s">
        <v>15</v>
      </c>
      <c r="H42" s="2">
        <v>98</v>
      </c>
      <c r="I42" s="2">
        <v>6</v>
      </c>
      <c r="J42" s="3">
        <v>4</v>
      </c>
    </row>
    <row r="43" spans="1:10" x14ac:dyDescent="0.3">
      <c r="A43" s="5" t="s">
        <v>75</v>
      </c>
      <c r="B43" s="7">
        <v>46241</v>
      </c>
      <c r="C43" s="3" t="s">
        <v>35</v>
      </c>
      <c r="D43" s="3" t="s">
        <v>12</v>
      </c>
      <c r="E43" s="3" t="s">
        <v>36</v>
      </c>
      <c r="F43" s="3" t="s">
        <v>42</v>
      </c>
      <c r="G43" s="3" t="s">
        <v>46</v>
      </c>
      <c r="H43" s="3">
        <v>44</v>
      </c>
      <c r="I43" s="3">
        <v>31</v>
      </c>
      <c r="J43" s="3">
        <v>3</v>
      </c>
    </row>
    <row r="44" spans="1:10" x14ac:dyDescent="0.3">
      <c r="A44" s="4" t="s">
        <v>76</v>
      </c>
      <c r="B44" s="6">
        <v>46260</v>
      </c>
      <c r="C44" s="2" t="s">
        <v>35</v>
      </c>
      <c r="D44" s="2" t="s">
        <v>22</v>
      </c>
      <c r="E44" s="2" t="s">
        <v>18</v>
      </c>
      <c r="F44" s="2" t="s">
        <v>44</v>
      </c>
      <c r="G44" s="2" t="s">
        <v>33</v>
      </c>
      <c r="H44" s="2">
        <v>90</v>
      </c>
      <c r="I44" s="2">
        <v>53</v>
      </c>
      <c r="J44" s="3">
        <v>4</v>
      </c>
    </row>
    <row r="45" spans="1:10" x14ac:dyDescent="0.3">
      <c r="A45" s="5" t="s">
        <v>77</v>
      </c>
      <c r="B45" s="7">
        <v>46243</v>
      </c>
      <c r="C45" s="3" t="s">
        <v>35</v>
      </c>
      <c r="D45" s="3" t="s">
        <v>12</v>
      </c>
      <c r="E45" s="3" t="s">
        <v>36</v>
      </c>
      <c r="F45" s="3" t="s">
        <v>65</v>
      </c>
      <c r="G45" s="3" t="s">
        <v>46</v>
      </c>
      <c r="H45" s="3">
        <v>61</v>
      </c>
      <c r="I45" s="3">
        <v>26</v>
      </c>
      <c r="J45" s="3">
        <v>5</v>
      </c>
    </row>
    <row r="46" spans="1:10" x14ac:dyDescent="0.3">
      <c r="A46" s="4" t="s">
        <v>78</v>
      </c>
      <c r="B46" s="6">
        <v>46246</v>
      </c>
      <c r="C46" s="2" t="s">
        <v>26</v>
      </c>
      <c r="D46" s="2" t="s">
        <v>27</v>
      </c>
      <c r="E46" s="2" t="s">
        <v>18</v>
      </c>
      <c r="F46" s="2" t="s">
        <v>65</v>
      </c>
      <c r="G46" s="2" t="s">
        <v>33</v>
      </c>
      <c r="H46" s="2">
        <v>107</v>
      </c>
      <c r="I46" s="2">
        <v>43</v>
      </c>
      <c r="J46" s="3">
        <v>4</v>
      </c>
    </row>
    <row r="47" spans="1:10" x14ac:dyDescent="0.3">
      <c r="A47" s="5" t="s">
        <v>79</v>
      </c>
      <c r="B47" s="7">
        <v>46262</v>
      </c>
      <c r="C47" s="3" t="s">
        <v>11</v>
      </c>
      <c r="D47" s="3" t="s">
        <v>30</v>
      </c>
      <c r="E47" s="3" t="s">
        <v>36</v>
      </c>
      <c r="F47" s="3" t="s">
        <v>42</v>
      </c>
      <c r="G47" s="3" t="s">
        <v>33</v>
      </c>
      <c r="H47" s="3">
        <v>142</v>
      </c>
      <c r="I47" s="3">
        <v>43</v>
      </c>
      <c r="J47" s="3">
        <v>2</v>
      </c>
    </row>
    <row r="48" spans="1:10" x14ac:dyDescent="0.3">
      <c r="A48" s="4" t="s">
        <v>80</v>
      </c>
      <c r="B48" s="6">
        <v>46238</v>
      </c>
      <c r="C48" s="2" t="s">
        <v>26</v>
      </c>
      <c r="D48" s="2" t="s">
        <v>27</v>
      </c>
      <c r="E48" s="2" t="s">
        <v>13</v>
      </c>
      <c r="F48" s="2" t="s">
        <v>14</v>
      </c>
      <c r="G48" s="2" t="s">
        <v>15</v>
      </c>
      <c r="H48" s="2">
        <v>157</v>
      </c>
      <c r="I48" s="2">
        <v>56</v>
      </c>
      <c r="J48" s="3">
        <v>4</v>
      </c>
    </row>
    <row r="49" spans="1:10" x14ac:dyDescent="0.3">
      <c r="A49" s="5" t="s">
        <v>81</v>
      </c>
      <c r="B49" s="7">
        <v>46258</v>
      </c>
      <c r="C49" s="3" t="s">
        <v>26</v>
      </c>
      <c r="D49" s="3" t="s">
        <v>22</v>
      </c>
      <c r="E49" s="3" t="s">
        <v>13</v>
      </c>
      <c r="F49" s="3" t="s">
        <v>19</v>
      </c>
      <c r="G49" s="3" t="s">
        <v>15</v>
      </c>
      <c r="H49" s="3">
        <v>152</v>
      </c>
      <c r="I49" s="3">
        <v>25</v>
      </c>
      <c r="J49" s="3">
        <v>4</v>
      </c>
    </row>
    <row r="50" spans="1:10" x14ac:dyDescent="0.3">
      <c r="A50" s="4" t="s">
        <v>82</v>
      </c>
      <c r="B50" s="6">
        <v>46236</v>
      </c>
      <c r="C50" s="2" t="s">
        <v>17</v>
      </c>
      <c r="D50" s="2" t="s">
        <v>12</v>
      </c>
      <c r="E50" s="2" t="s">
        <v>13</v>
      </c>
      <c r="F50" s="2" t="s">
        <v>32</v>
      </c>
      <c r="G50" s="2" t="s">
        <v>15</v>
      </c>
      <c r="H50" s="2">
        <v>22</v>
      </c>
      <c r="I50" s="2">
        <v>43</v>
      </c>
      <c r="J50" s="3">
        <v>4</v>
      </c>
    </row>
    <row r="51" spans="1:10" x14ac:dyDescent="0.3">
      <c r="A51" s="5" t="s">
        <v>83</v>
      </c>
      <c r="B51" s="7">
        <v>46256</v>
      </c>
      <c r="C51" s="3" t="s">
        <v>11</v>
      </c>
      <c r="D51" s="3" t="s">
        <v>30</v>
      </c>
      <c r="E51" s="3" t="s">
        <v>13</v>
      </c>
      <c r="F51" s="3" t="s">
        <v>14</v>
      </c>
      <c r="G51" s="3" t="s">
        <v>33</v>
      </c>
      <c r="H51" s="3">
        <v>88</v>
      </c>
      <c r="I51" s="3">
        <v>52</v>
      </c>
      <c r="J51" s="3">
        <v>4</v>
      </c>
    </row>
    <row r="52" spans="1:10" x14ac:dyDescent="0.3">
      <c r="A52" s="4" t="s">
        <v>84</v>
      </c>
      <c r="B52" s="6">
        <v>46252</v>
      </c>
      <c r="C52" s="2" t="s">
        <v>35</v>
      </c>
      <c r="D52" s="2" t="s">
        <v>27</v>
      </c>
      <c r="E52" s="2" t="s">
        <v>36</v>
      </c>
      <c r="F52" s="2" t="s">
        <v>42</v>
      </c>
      <c r="G52" s="2" t="s">
        <v>33</v>
      </c>
      <c r="H52" s="2">
        <v>49</v>
      </c>
      <c r="I52" s="2">
        <v>39</v>
      </c>
      <c r="J52" s="3">
        <v>5</v>
      </c>
    </row>
    <row r="53" spans="1:10" x14ac:dyDescent="0.3">
      <c r="A53" s="5" t="s">
        <v>85</v>
      </c>
      <c r="B53" s="7">
        <v>46252</v>
      </c>
      <c r="C53" s="3" t="s">
        <v>11</v>
      </c>
      <c r="D53" s="3" t="s">
        <v>30</v>
      </c>
      <c r="E53" s="3" t="s">
        <v>36</v>
      </c>
      <c r="F53" s="3" t="s">
        <v>32</v>
      </c>
      <c r="G53" s="3" t="s">
        <v>15</v>
      </c>
      <c r="H53" s="3">
        <v>153</v>
      </c>
      <c r="I53" s="3">
        <v>42</v>
      </c>
      <c r="J53" s="3">
        <v>5</v>
      </c>
    </row>
    <row r="54" spans="1:10" x14ac:dyDescent="0.3">
      <c r="A54" s="4" t="s">
        <v>86</v>
      </c>
      <c r="B54" s="6">
        <v>46249</v>
      </c>
      <c r="C54" s="2" t="s">
        <v>17</v>
      </c>
      <c r="D54" s="2" t="s">
        <v>27</v>
      </c>
      <c r="E54" s="2" t="s">
        <v>13</v>
      </c>
      <c r="F54" s="2" t="s">
        <v>23</v>
      </c>
      <c r="G54" s="2" t="s">
        <v>33</v>
      </c>
      <c r="H54" s="2">
        <v>48</v>
      </c>
      <c r="I54" s="2">
        <v>11</v>
      </c>
      <c r="J54" s="3">
        <v>4</v>
      </c>
    </row>
    <row r="55" spans="1:10" x14ac:dyDescent="0.3">
      <c r="A55" s="5" t="s">
        <v>87</v>
      </c>
      <c r="B55" s="7">
        <v>46251</v>
      </c>
      <c r="C55" s="3" t="s">
        <v>21</v>
      </c>
      <c r="D55" s="3" t="s">
        <v>30</v>
      </c>
      <c r="E55" s="3" t="s">
        <v>18</v>
      </c>
      <c r="F55" s="3" t="s">
        <v>32</v>
      </c>
      <c r="G55" s="3" t="s">
        <v>33</v>
      </c>
      <c r="H55" s="3">
        <v>62</v>
      </c>
      <c r="I55" s="3">
        <v>26</v>
      </c>
      <c r="J55" s="3">
        <v>3</v>
      </c>
    </row>
    <row r="56" spans="1:10" x14ac:dyDescent="0.3">
      <c r="A56" s="4" t="s">
        <v>88</v>
      </c>
      <c r="B56" s="6">
        <v>46235</v>
      </c>
      <c r="C56" s="2" t="s">
        <v>11</v>
      </c>
      <c r="D56" s="2" t="s">
        <v>27</v>
      </c>
      <c r="E56" s="2" t="s">
        <v>36</v>
      </c>
      <c r="F56" s="2" t="s">
        <v>19</v>
      </c>
      <c r="G56" s="2" t="s">
        <v>24</v>
      </c>
      <c r="H56" s="2">
        <v>166</v>
      </c>
      <c r="I56" s="2">
        <v>25</v>
      </c>
      <c r="J56" s="3">
        <v>5</v>
      </c>
    </row>
    <row r="57" spans="1:10" x14ac:dyDescent="0.3">
      <c r="A57" s="5" t="s">
        <v>89</v>
      </c>
      <c r="B57" s="7">
        <v>46250</v>
      </c>
      <c r="C57" s="3" t="s">
        <v>17</v>
      </c>
      <c r="D57" s="3" t="s">
        <v>27</v>
      </c>
      <c r="E57" s="3" t="s">
        <v>18</v>
      </c>
      <c r="F57" s="3" t="s">
        <v>65</v>
      </c>
      <c r="G57" s="3" t="s">
        <v>46</v>
      </c>
      <c r="H57" s="3">
        <v>32</v>
      </c>
      <c r="I57" s="3">
        <v>55</v>
      </c>
      <c r="J57" s="3">
        <v>4</v>
      </c>
    </row>
    <row r="58" spans="1:10" x14ac:dyDescent="0.3">
      <c r="A58" s="4" t="s">
        <v>90</v>
      </c>
      <c r="B58" s="6">
        <v>46240</v>
      </c>
      <c r="C58" s="2" t="s">
        <v>21</v>
      </c>
      <c r="D58" s="2" t="s">
        <v>22</v>
      </c>
      <c r="E58" s="2" t="s">
        <v>18</v>
      </c>
      <c r="F58" s="2" t="s">
        <v>32</v>
      </c>
      <c r="G58" s="2" t="s">
        <v>46</v>
      </c>
      <c r="H58" s="2">
        <v>36</v>
      </c>
      <c r="I58" s="2">
        <v>59</v>
      </c>
      <c r="J58" s="3">
        <v>3</v>
      </c>
    </row>
    <row r="59" spans="1:10" x14ac:dyDescent="0.3">
      <c r="A59" s="5" t="s">
        <v>91</v>
      </c>
      <c r="B59" s="7">
        <v>46260</v>
      </c>
      <c r="C59" s="3" t="s">
        <v>17</v>
      </c>
      <c r="D59" s="3" t="s">
        <v>30</v>
      </c>
      <c r="E59" s="3" t="s">
        <v>36</v>
      </c>
      <c r="F59" s="3" t="s">
        <v>42</v>
      </c>
      <c r="G59" s="3" t="s">
        <v>46</v>
      </c>
      <c r="H59" s="3">
        <v>145</v>
      </c>
      <c r="I59" s="3">
        <v>58</v>
      </c>
      <c r="J59" s="3">
        <v>3</v>
      </c>
    </row>
    <row r="60" spans="1:10" x14ac:dyDescent="0.3">
      <c r="A60" s="4" t="s">
        <v>92</v>
      </c>
      <c r="B60" s="6">
        <v>46258</v>
      </c>
      <c r="C60" s="2" t="s">
        <v>17</v>
      </c>
      <c r="D60" s="2" t="s">
        <v>22</v>
      </c>
      <c r="E60" s="2" t="s">
        <v>36</v>
      </c>
      <c r="F60" s="2" t="s">
        <v>32</v>
      </c>
      <c r="G60" s="2" t="s">
        <v>46</v>
      </c>
      <c r="H60" s="2">
        <v>75</v>
      </c>
      <c r="I60" s="2">
        <v>67</v>
      </c>
      <c r="J60" s="3">
        <v>5</v>
      </c>
    </row>
    <row r="61" spans="1:10" x14ac:dyDescent="0.3">
      <c r="A61" s="9" t="s">
        <v>93</v>
      </c>
      <c r="B61" s="10">
        <v>46255</v>
      </c>
      <c r="C61" s="11" t="s">
        <v>35</v>
      </c>
      <c r="D61" s="11" t="s">
        <v>30</v>
      </c>
      <c r="E61" s="11" t="s">
        <v>36</v>
      </c>
      <c r="F61" s="11" t="s">
        <v>19</v>
      </c>
      <c r="G61" s="11" t="s">
        <v>33</v>
      </c>
      <c r="H61" s="11">
        <v>65</v>
      </c>
      <c r="I61" s="11">
        <v>35</v>
      </c>
      <c r="J61" s="11">
        <v>4</v>
      </c>
    </row>
  </sheetData>
  <conditionalFormatting sqref="D2:D61">
    <cfRule type="containsText" dxfId="5" priority="5" operator="containsText" text="High">
      <formula>NOT(ISERROR(SEARCH("High",D2)))</formula>
    </cfRule>
    <cfRule type="containsText" dxfId="4" priority="6" operator="containsText" text="Critical">
      <formula>NOT(ISERROR(SEARCH("Critical",D2)))</formula>
    </cfRule>
  </conditionalFormatting>
  <conditionalFormatting sqref="G2:G61">
    <cfRule type="containsText" dxfId="3" priority="3" operator="containsText" text="Escalated">
      <formula>NOT(ISERROR(SEARCH("Escalated",G2)))</formula>
    </cfRule>
    <cfRule type="cellIs" dxfId="2" priority="4" operator="equal">
      <formula>"Pending"</formula>
    </cfRule>
  </conditionalFormatting>
  <conditionalFormatting sqref="I2:I61">
    <cfRule type="cellIs" dxfId="1" priority="2" operator="greaterThan">
      <formula>48</formula>
    </cfRule>
  </conditionalFormatting>
  <conditionalFormatting sqref="I2:I1048576">
    <cfRule type="cellIs" dxfId="0" priority="1" operator="greaterThan">
      <formula>48</formula>
    </cfRule>
  </conditionalFormatting>
  <dataValidations count="4">
    <dataValidation type="list" allowBlank="1" showInputMessage="1" showErrorMessage="1" sqref="D2:D61 D62:D1048576" xr:uid="{E41C8C46-E4BC-4359-A99F-8B46263F4248}">
      <formula1>"Low, High, Critical, Medium"</formula1>
    </dataValidation>
    <dataValidation type="list" allowBlank="1" showInputMessage="1" showErrorMessage="1" sqref="G2:G61" xr:uid="{FBD6CCBE-A5BD-469B-99A8-B4FB61E2FC16}">
      <formula1>"Resolved, Pending, Escalated, Closed"</formula1>
    </dataValidation>
    <dataValidation type="whole" allowBlank="1" showInputMessage="1" showErrorMessage="1" prompt="Enter CSAT between(1-5)" sqref="J2:J61" xr:uid="{ABF6703C-A54B-40CD-AE89-3D00E793781A}">
      <formula1>1</formula1>
      <formula2>5</formula2>
    </dataValidation>
    <dataValidation type="list" allowBlank="1" showInputMessage="1" showErrorMessage="1" sqref="C2:C1048576" xr:uid="{1E9433D2-F0C1-4FBA-84CA-A5EB5CC61063}">
      <formula1>"Account,Delivery,Refund,Technical,Payment"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569E6-AEB7-45B1-8B16-B6589E9D8522}">
  <dimension ref="A3:K12"/>
  <sheetViews>
    <sheetView workbookViewId="0">
      <selection activeCell="H12" sqref="H12"/>
    </sheetView>
  </sheetViews>
  <sheetFormatPr defaultRowHeight="14.4" x14ac:dyDescent="0.3"/>
  <cols>
    <col min="1" max="1" width="10.77734375" bestFit="1" customWidth="1"/>
    <col min="2" max="2" width="15.6640625" bestFit="1" customWidth="1"/>
    <col min="4" max="4" width="10.77734375" bestFit="1" customWidth="1"/>
    <col min="5" max="5" width="15.6640625" bestFit="1" customWidth="1"/>
    <col min="7" max="7" width="10.88671875" bestFit="1" customWidth="1"/>
    <col min="8" max="8" width="15.6640625" bestFit="1" customWidth="1"/>
    <col min="10" max="10" width="10.77734375" bestFit="1" customWidth="1"/>
    <col min="11" max="11" width="15.6640625" bestFit="1" customWidth="1"/>
  </cols>
  <sheetData>
    <row r="3" spans="1:11" x14ac:dyDescent="0.3">
      <c r="A3" s="13" t="s">
        <v>2</v>
      </c>
      <c r="B3" t="s">
        <v>99</v>
      </c>
      <c r="D3" s="13" t="s">
        <v>100</v>
      </c>
      <c r="E3" t="s">
        <v>99</v>
      </c>
      <c r="G3" s="13" t="s">
        <v>101</v>
      </c>
      <c r="H3" t="s">
        <v>99</v>
      </c>
      <c r="J3" s="13" t="s">
        <v>102</v>
      </c>
      <c r="K3" t="s">
        <v>99</v>
      </c>
    </row>
    <row r="4" spans="1:11" x14ac:dyDescent="0.3">
      <c r="A4" s="14" t="s">
        <v>11</v>
      </c>
      <c r="B4">
        <v>8</v>
      </c>
      <c r="D4" s="14" t="s">
        <v>22</v>
      </c>
      <c r="E4">
        <v>16</v>
      </c>
      <c r="G4" s="14" t="s">
        <v>13</v>
      </c>
      <c r="H4">
        <v>18</v>
      </c>
      <c r="J4" s="14" t="s">
        <v>65</v>
      </c>
      <c r="K4">
        <v>7</v>
      </c>
    </row>
    <row r="5" spans="1:11" x14ac:dyDescent="0.3">
      <c r="A5" s="14" t="s">
        <v>17</v>
      </c>
      <c r="B5">
        <v>15</v>
      </c>
      <c r="D5" s="14" t="s">
        <v>30</v>
      </c>
      <c r="E5">
        <v>17</v>
      </c>
      <c r="G5" s="14" t="s">
        <v>18</v>
      </c>
      <c r="H5">
        <v>26</v>
      </c>
      <c r="J5" s="14" t="s">
        <v>32</v>
      </c>
      <c r="K5">
        <v>13</v>
      </c>
    </row>
    <row r="6" spans="1:11" x14ac:dyDescent="0.3">
      <c r="A6" s="14" t="s">
        <v>35</v>
      </c>
      <c r="B6">
        <v>10</v>
      </c>
      <c r="D6" s="14" t="s">
        <v>12</v>
      </c>
      <c r="E6">
        <v>15</v>
      </c>
      <c r="G6" s="14" t="s">
        <v>36</v>
      </c>
      <c r="H6">
        <v>16</v>
      </c>
      <c r="J6" s="14" t="s">
        <v>28</v>
      </c>
      <c r="K6">
        <v>3</v>
      </c>
    </row>
    <row r="7" spans="1:11" x14ac:dyDescent="0.3">
      <c r="A7" s="14" t="s">
        <v>21</v>
      </c>
      <c r="B7">
        <v>12</v>
      </c>
      <c r="D7" s="14" t="s">
        <v>27</v>
      </c>
      <c r="E7">
        <v>12</v>
      </c>
      <c r="G7" s="14" t="s">
        <v>98</v>
      </c>
      <c r="H7">
        <v>60</v>
      </c>
      <c r="J7" s="14" t="s">
        <v>14</v>
      </c>
      <c r="K7">
        <v>6</v>
      </c>
    </row>
    <row r="8" spans="1:11" x14ac:dyDescent="0.3">
      <c r="A8" s="14" t="s">
        <v>26</v>
      </c>
      <c r="B8">
        <v>15</v>
      </c>
      <c r="D8" s="14" t="s">
        <v>98</v>
      </c>
      <c r="E8">
        <v>60</v>
      </c>
      <c r="J8" s="14" t="s">
        <v>19</v>
      </c>
      <c r="K8">
        <v>10</v>
      </c>
    </row>
    <row r="9" spans="1:11" x14ac:dyDescent="0.3">
      <c r="A9" s="14" t="s">
        <v>98</v>
      </c>
      <c r="B9">
        <v>60</v>
      </c>
      <c r="J9" s="14" t="s">
        <v>42</v>
      </c>
      <c r="K9">
        <v>9</v>
      </c>
    </row>
    <row r="10" spans="1:11" x14ac:dyDescent="0.3">
      <c r="J10" s="14" t="s">
        <v>44</v>
      </c>
      <c r="K10">
        <v>3</v>
      </c>
    </row>
    <row r="11" spans="1:11" x14ac:dyDescent="0.3">
      <c r="J11" s="14" t="s">
        <v>23</v>
      </c>
      <c r="K11">
        <v>9</v>
      </c>
    </row>
    <row r="12" spans="1:11" x14ac:dyDescent="0.3">
      <c r="J12" s="14" t="s">
        <v>98</v>
      </c>
      <c r="K1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464A3-B6CA-4363-B097-F911F10A8A88}">
  <dimension ref="A1:H13"/>
  <sheetViews>
    <sheetView tabSelected="1" zoomScaleNormal="100" workbookViewId="0">
      <selection activeCell="N10" sqref="N10"/>
    </sheetView>
  </sheetViews>
  <sheetFormatPr defaultRowHeight="14.4" x14ac:dyDescent="0.3"/>
  <cols>
    <col min="1" max="1" width="35.5546875" customWidth="1"/>
    <col min="2" max="2" width="17.6640625" customWidth="1"/>
  </cols>
  <sheetData>
    <row r="1" spans="1:8" ht="23.4" x14ac:dyDescent="0.45">
      <c r="A1" s="16" t="s">
        <v>109</v>
      </c>
      <c r="B1" s="17"/>
      <c r="C1" s="17"/>
      <c r="D1" s="17"/>
      <c r="E1" s="17"/>
      <c r="F1" s="17"/>
      <c r="G1" s="17"/>
      <c r="H1" s="17"/>
    </row>
    <row r="2" spans="1:8" x14ac:dyDescent="0.3">
      <c r="A2" s="18" t="s">
        <v>94</v>
      </c>
      <c r="B2" s="19">
        <f>COUNTA(Tickets[TicketID])</f>
        <v>60</v>
      </c>
    </row>
    <row r="3" spans="1:8" x14ac:dyDescent="0.3">
      <c r="A3" s="18" t="s">
        <v>95</v>
      </c>
      <c r="B3" s="19">
        <f>COUNTIF(Tickets[Status],"Resolved")</f>
        <v>24</v>
      </c>
    </row>
    <row r="4" spans="1:8" x14ac:dyDescent="0.3">
      <c r="A4" s="18" t="s">
        <v>108</v>
      </c>
      <c r="B4" s="18">
        <f>AVERAGE(Tickets[CSAT])</f>
        <v>3.6666666666666665</v>
      </c>
    </row>
    <row r="5" spans="1:8" x14ac:dyDescent="0.3">
      <c r="A5" s="18" t="s">
        <v>96</v>
      </c>
      <c r="B5" s="20">
        <f>AVERAGE(Tickets[FirstResponse_Min])</f>
        <v>85.983333333333334</v>
      </c>
    </row>
    <row r="6" spans="1:8" x14ac:dyDescent="0.3">
      <c r="A6" s="18" t="s">
        <v>97</v>
      </c>
      <c r="B6" s="21">
        <f>AVERAGE(Tickets[Resolution_Hours])</f>
        <v>33.31666666666667</v>
      </c>
    </row>
    <row r="7" spans="1:8" x14ac:dyDescent="0.3">
      <c r="A7" s="18" t="s">
        <v>110</v>
      </c>
      <c r="B7" s="22">
        <f>COUNTIF(Tickets[Status],"Resolved")/COUNTA(Tickets[TicketID])</f>
        <v>0.4</v>
      </c>
    </row>
    <row r="8" spans="1:8" x14ac:dyDescent="0.3">
      <c r="A8" s="23" t="s">
        <v>103</v>
      </c>
      <c r="B8" s="23">
        <f>COUNTIF(Tickets[Priority],"High")</f>
        <v>17</v>
      </c>
    </row>
    <row r="9" spans="1:8" x14ac:dyDescent="0.3">
      <c r="A9" s="24" t="s">
        <v>104</v>
      </c>
      <c r="B9" s="23">
        <f>COUNTIF(Tickets[Priority],"Critical")</f>
        <v>16</v>
      </c>
    </row>
    <row r="10" spans="1:8" x14ac:dyDescent="0.3">
      <c r="A10" s="24" t="s">
        <v>105</v>
      </c>
      <c r="B10" s="23">
        <f>COUNTIFS(Tickets[Priority],"High",Tickets[Status],"Resolved")+COUNTIFS(Tickets[Priority],"Critical",Tickets[Status],"Resolved")</f>
        <v>12</v>
      </c>
    </row>
    <row r="11" spans="1:8" x14ac:dyDescent="0.3">
      <c r="A11" s="24" t="s">
        <v>106</v>
      </c>
      <c r="B11" s="25">
        <f>AVERAGEIF(Tickets[Priority],"High",Tickets[FirstResponse_Min])</f>
        <v>81</v>
      </c>
    </row>
    <row r="12" spans="1:8" x14ac:dyDescent="0.3">
      <c r="A12" s="24" t="s">
        <v>107</v>
      </c>
      <c r="B12" s="26">
        <f>AVERAGEIF(Tickets[Priority],"Critical",Tickets[Resolution_Hours])</f>
        <v>38.4375</v>
      </c>
    </row>
    <row r="13" spans="1:8" x14ac:dyDescent="0.3">
      <c r="A13" s="1"/>
      <c r="B13" s="12"/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 Data</vt:lpstr>
      <vt:lpstr>Pivot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vaibhavi suvarna</cp:lastModifiedBy>
  <dcterms:created xsi:type="dcterms:W3CDTF">2026-09-23T08:32:44Z</dcterms:created>
  <dcterms:modified xsi:type="dcterms:W3CDTF">2026-10-14T07:51:26Z</dcterms:modified>
</cp:coreProperties>
</file>